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hidePivotFieldList="1"/>
  <mc:AlternateContent xmlns:mc="http://schemas.openxmlformats.org/markup-compatibility/2006">
    <mc:Choice Requires="x15">
      <x15ac:absPath xmlns:x15ac="http://schemas.microsoft.com/office/spreadsheetml/2010/11/ac" url="C:\Users\lou049\Desktop\Data School\FSC Reports\JIRA + O2D monthly report data\"/>
    </mc:Choice>
  </mc:AlternateContent>
  <xr:revisionPtr revIDLastSave="0" documentId="8_{55BAEA4C-E9BA-4A1C-951A-A022F377705B}" xr6:coauthVersionLast="44" xr6:coauthVersionMax="44" xr10:uidLastSave="{00000000-0000-0000-0000-000000000000}"/>
  <bookViews>
    <workbookView xWindow="29700" yWindow="4365" windowWidth="28410" windowHeight="7500" xr2:uid="{00000000-000D-0000-FFFF-FFFF00000000}"/>
  </bookViews>
  <sheets>
    <sheet name="Pivot Table Summary" sheetId="3" r:id="rId1"/>
    <sheet name="Created" sheetId="2" r:id="rId2"/>
    <sheet name="Completed" sheetId="4" r:id="rId3"/>
    <sheet name="Request types" sheetId="5" r:id="rId4"/>
  </sheets>
  <definedNames>
    <definedName name="_xlnm._FilterDatabase" localSheetId="2" hidden="1">Completed!$A$4:$K$59</definedName>
    <definedName name="_xlnm._FilterDatabase" localSheetId="1" hidden="1">Created!$A$4:$K$128</definedName>
  </definedNames>
  <calcPr calcId="191029"/>
  <pivotCaches>
    <pivotCache cacheId="3" r:id="rId5"/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6" i="4" l="1"/>
  <c r="L19" i="2" l="1"/>
  <c r="L18" i="4" s="1"/>
  <c r="L20" i="2"/>
  <c r="L19" i="4" s="1"/>
  <c r="L21" i="2"/>
  <c r="L20" i="4" s="1"/>
  <c r="L10" i="2" l="1"/>
  <c r="L44" i="2" l="1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4" s="1"/>
  <c r="L25" i="2"/>
  <c r="L24" i="4" s="1"/>
  <c r="L24" i="2"/>
  <c r="L23" i="4" s="1"/>
  <c r="L23" i="2"/>
  <c r="L22" i="4" s="1"/>
  <c r="L22" i="2"/>
  <c r="L21" i="4" s="1"/>
  <c r="L18" i="2"/>
  <c r="L17" i="4" s="1"/>
  <c r="L17" i="2"/>
  <c r="L16" i="2"/>
  <c r="L15" i="2"/>
  <c r="L14" i="2"/>
  <c r="L13" i="2"/>
  <c r="L12" i="2"/>
  <c r="L11" i="2"/>
  <c r="L10" i="4" s="1"/>
  <c r="A10" i="4" s="1"/>
  <c r="L9" i="2"/>
  <c r="L8" i="4" s="1"/>
  <c r="L8" i="2"/>
  <c r="L7" i="4" s="1"/>
  <c r="L7" i="2"/>
  <c r="L6" i="2"/>
  <c r="L29" i="4"/>
  <c r="L28" i="4"/>
  <c r="L11" i="4" l="1"/>
  <c r="A11" i="4" s="1"/>
  <c r="L9" i="4"/>
  <c r="A9" i="4" s="1"/>
  <c r="L12" i="4"/>
  <c r="A12" i="4" s="1"/>
  <c r="L6" i="4"/>
  <c r="A6" i="4" s="1"/>
  <c r="L14" i="4"/>
  <c r="A14" i="4" s="1"/>
  <c r="L13" i="4"/>
  <c r="A13" i="4" s="1"/>
  <c r="L15" i="4"/>
  <c r="L27" i="4"/>
  <c r="L26" i="4"/>
  <c r="A8" i="4"/>
  <c r="A7" i="4"/>
  <c r="L5" i="2" l="1"/>
  <c r="L5" i="4" s="1"/>
  <c r="A5" i="4" l="1"/>
</calcChain>
</file>

<file path=xl/sharedStrings.xml><?xml version="1.0" encoding="utf-8"?>
<sst xmlns="http://schemas.openxmlformats.org/spreadsheetml/2006/main" count="235" uniqueCount="71">
  <si>
    <t>JIRA Service Desk</t>
  </si>
  <si>
    <t>Issue Type</t>
  </si>
  <si>
    <t>Key</t>
  </si>
  <si>
    <t>Summary</t>
  </si>
  <si>
    <t>Assignee</t>
  </si>
  <si>
    <t>Reporter</t>
  </si>
  <si>
    <t>Status</t>
  </si>
  <si>
    <t>Resolution</t>
  </si>
  <si>
    <t>Created</t>
  </si>
  <si>
    <t>Resolved</t>
  </si>
  <si>
    <t>Financial</t>
  </si>
  <si>
    <t>Closed</t>
  </si>
  <si>
    <t>Completed</t>
  </si>
  <si>
    <t>Manual Classification</t>
  </si>
  <si>
    <t>Close Project</t>
  </si>
  <si>
    <t>Planning Tool Changes</t>
  </si>
  <si>
    <t>Project Leader Change</t>
  </si>
  <si>
    <t>Row Labels</t>
  </si>
  <si>
    <t>Grand Total</t>
  </si>
  <si>
    <t>Count of Issue Type</t>
  </si>
  <si>
    <t>(blank)</t>
  </si>
  <si>
    <t>Count of Manual Classification</t>
  </si>
  <si>
    <t>New Capital Project</t>
  </si>
  <si>
    <t>Close WBS Stage</t>
  </si>
  <si>
    <t>General</t>
  </si>
  <si>
    <t>Project End Date</t>
  </si>
  <si>
    <t>Link to Existing Project</t>
  </si>
  <si>
    <t>Revenue Recognition Change</t>
  </si>
  <si>
    <t>Issue Id</t>
  </si>
  <si>
    <t>New Support Project</t>
  </si>
  <si>
    <t>Project Leader Delegation Check</t>
  </si>
  <si>
    <t>Copied from previous report</t>
  </si>
  <si>
    <t>Open</t>
  </si>
  <si>
    <t>fle132</t>
  </si>
  <si>
    <t>Partners Change</t>
  </si>
  <si>
    <t>muf002</t>
  </si>
  <si>
    <t>CA-67033</t>
  </si>
  <si>
    <t>Do, Nga (26-Mar): S-00248</t>
  </si>
  <si>
    <t>do005</t>
  </si>
  <si>
    <t>CA-66918</t>
  </si>
  <si>
    <t xml:space="preserve">Gounder, Kush (23-Mar): Close Project - O2D ID :  OD-209321. SAP ID : R-11878  </t>
  </si>
  <si>
    <t>gou124</t>
  </si>
  <si>
    <t>CA-66867</t>
  </si>
  <si>
    <t>Love, Anne (20-Mar): CANCELLED  AND  BLOCKED</t>
  </si>
  <si>
    <t>lov109</t>
  </si>
  <si>
    <t>CA-66823</t>
  </si>
  <si>
    <t>Wijeweera, Dilini (19-Mar): R-91401 Project Needs to be closed and manual revenue plans for new Project no. R-14803</t>
  </si>
  <si>
    <t>wij012</t>
  </si>
  <si>
    <t>CA-66734</t>
  </si>
  <si>
    <t xml:space="preserve">Feng, Angela (16-Mar): R-12200 Incorrect Project Leader Delegation in SAP </t>
  </si>
  <si>
    <t>fen074</t>
  </si>
  <si>
    <t>CA-66660</t>
  </si>
  <si>
    <t>Gounder, Kush (12-Mar): FW: Missing system delegation to process shopping cart</t>
  </si>
  <si>
    <t>CA-66658</t>
  </si>
  <si>
    <t>Muffatti, Kellie (12-Mar): R-14084 - Please delay close in SAP backend - outstanding invoice to be paid</t>
  </si>
  <si>
    <t>CA-66656</t>
  </si>
  <si>
    <t>Sayers, Jodie (12-Mar): Please update SAP position numbers</t>
  </si>
  <si>
    <t>say015</t>
  </si>
  <si>
    <t>CA-66550</t>
  </si>
  <si>
    <t>McLure, Nicole (06-Mar): Activity Forecast for Profit Centre 23004</t>
  </si>
  <si>
    <t>mcl271</t>
  </si>
  <si>
    <t>CA-66502</t>
  </si>
  <si>
    <t>Feng, Angela (05-Mar): R-14772 CCOP Cyber Common Operating Picture</t>
  </si>
  <si>
    <t>CA-66340</t>
  </si>
  <si>
    <t>Slatter, Sonja (28-Feb): request to update the Masterdata in O2D</t>
  </si>
  <si>
    <t>sla068</t>
  </si>
  <si>
    <t>CA-67167</t>
  </si>
  <si>
    <t>Slatter, Sonja (30-Mar): FW: request to update the Masterdata in O2D</t>
  </si>
  <si>
    <t>CA-66409</t>
  </si>
  <si>
    <t>System Reporter (03-Mar): FW: Delegations for Bernie McDonough</t>
  </si>
  <si>
    <t>systemreporter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</si>
</sst>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Arial"/>
      <family val="2"/>
    </font>
    <font>
      <i/>
      <sz val="11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sz val="9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2303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7">
    <xf numFmtId="0" fontId="0" fillId="0" borderId="0" xfId="0"/>
    <xf numFmtId="0" fontId="19" fillId="33" borderId="11" xfId="0" applyFont="1" applyFill="1" applyBorder="1" applyAlignment="1">
      <alignment vertical="top" wrapText="1"/>
    </xf>
    <xf numFmtId="0" fontId="19" fillId="33" borderId="12" xfId="0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0" borderId="11" xfId="42" applyBorder="1" applyAlignment="1">
      <alignment vertical="top" wrapText="1"/>
    </xf>
    <xf numFmtId="0" fontId="20" fillId="0" borderId="12" xfId="42" applyBorder="1" applyAlignment="1">
      <alignment vertical="top" wrapText="1"/>
    </xf>
    <xf numFmtId="0" fontId="20" fillId="0" borderId="13" xfId="42" applyBorder="1" applyAlignment="1">
      <alignment vertical="top" wrapText="1"/>
    </xf>
    <xf numFmtId="0" fontId="19" fillId="0" borderId="11" xfId="0" applyFont="1" applyBorder="1" applyAlignment="1">
      <alignment vertical="top" wrapText="1"/>
    </xf>
    <xf numFmtId="0" fontId="19" fillId="0" borderId="12" xfId="0" applyFont="1" applyBorder="1" applyAlignment="1">
      <alignment vertical="top" wrapText="1"/>
    </xf>
    <xf numFmtId="0" fontId="19" fillId="0" borderId="13" xfId="0" applyFont="1" applyBorder="1" applyAlignment="1">
      <alignment vertical="top" wrapText="1"/>
    </xf>
    <xf numFmtId="0" fontId="21" fillId="0" borderId="10" xfId="0" applyFont="1" applyBorder="1" applyAlignment="1">
      <alignment horizontal="center" vertical="top" wrapText="1"/>
    </xf>
    <xf numFmtId="49" fontId="19" fillId="0" borderId="10" xfId="0" applyNumberFormat="1" applyFont="1" applyBorder="1" applyAlignment="1">
      <alignment horizontal="left" vertical="top" wrapText="1"/>
    </xf>
    <xf numFmtId="49" fontId="20" fillId="0" borderId="10" xfId="42" applyNumberFormat="1" applyBorder="1" applyAlignment="1">
      <alignment horizontal="left" vertical="top" wrapText="1"/>
    </xf>
    <xf numFmtId="0" fontId="19" fillId="0" borderId="1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22" fontId="19" fillId="0" borderId="10" xfId="0" applyNumberFormat="1" applyFont="1" applyBorder="1" applyAlignment="1">
      <alignment vertical="top" wrapText="1"/>
    </xf>
    <xf numFmtId="0" fontId="18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4" fillId="0" borderId="0" xfId="0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/>
    <xf numFmtId="0" fontId="27" fillId="0" borderId="0" xfId="0" applyFont="1" applyAlignment="1"/>
    <xf numFmtId="0" fontId="28" fillId="0" borderId="0" xfId="0" applyFont="1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jira-sd.csiro.au/jira-logo-scaled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jira-sd.csiro.au/jira-logo-scaled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609600</xdr:colOff>
      <xdr:row>1</xdr:row>
      <xdr:rowOff>76200</xdr:rowOff>
    </xdr:to>
    <xdr:pic>
      <xdr:nvPicPr>
        <xdr:cNvPr id="2049" name="Picture 1" descr="JIRA Service Desk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574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1</xdr:row>
      <xdr:rowOff>85725</xdr:rowOff>
    </xdr:to>
    <xdr:pic>
      <xdr:nvPicPr>
        <xdr:cNvPr id="2" name="Picture 1" descr="JIRA Service Des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1700" y="0"/>
          <a:ext cx="22574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ynt, Creswell (Finance, Dutton Park)" refreshedDate="43928.37262800926" createdVersion="5" refreshedVersion="6" minRefreshableVersion="3" recordCount="80" xr:uid="{00000000-000A-0000-FFFF-FFFF0D000000}">
  <cacheSource type="worksheet">
    <worksheetSource ref="A4:K84" sheet="Created"/>
  </cacheSource>
  <cacheFields count="11">
    <cacheField name="Manual Classification" numFmtId="0">
      <sharedItems containsBlank="1" count="16">
        <s v="Partners Change"/>
        <s v="Project Leader Delegation Check"/>
        <s v="Close Project"/>
        <s v="General"/>
        <s v="Project Leader Change"/>
        <s v="Revenue Recognition Change"/>
        <m/>
        <s v="Close WBS Stage" u="1"/>
        <s v="New Support Project" u="1"/>
        <s v="Planning Tool Changes" u="1"/>
        <s v="New Capital Project" u="1"/>
        <s v="New Capital  Project" u="1"/>
        <s v="Other" u="1"/>
        <s v="Capital/Support Partners Change" u="1"/>
        <s v="Project End Date" u="1"/>
        <s v="Link to Existing Project" u="1"/>
      </sharedItems>
    </cacheField>
    <cacheField name="Issue Type" numFmtId="49">
      <sharedItems containsBlank="1"/>
    </cacheField>
    <cacheField name="Key" numFmtId="49">
      <sharedItems containsBlank="1"/>
    </cacheField>
    <cacheField name="Issue Id" numFmtId="49">
      <sharedItems containsString="0" containsBlank="1" containsNumber="1" containsInteger="1" minValue="1181724" maxValue="1231917"/>
    </cacheField>
    <cacheField name="Summary" numFmtId="0">
      <sharedItems containsBlank="1"/>
    </cacheField>
    <cacheField name="Status" numFmtId="49">
      <sharedItems containsBlank="1"/>
    </cacheField>
    <cacheField name="Resolution" numFmtId="0">
      <sharedItems containsBlank="1"/>
    </cacheField>
    <cacheField name="Created" numFmtId="22">
      <sharedItems containsNonDate="0" containsDate="1" containsString="0" containsBlank="1" minDate="2020-03-03T09:03:00" maxDate="2020-03-30T14:11:00"/>
    </cacheField>
    <cacheField name="Resolved" numFmtId="0">
      <sharedItems containsNonDate="0" containsDate="1" containsString="0" containsBlank="1" minDate="2020-03-06T11:51:00" maxDate="2020-04-03T16:55:00"/>
    </cacheField>
    <cacheField name="Reporter" numFmtId="0">
      <sharedItems containsBlank="1"/>
    </cacheField>
    <cacheField name="Assign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ynt, Creswell (Finance, Dutton Park)" refreshedDate="43928.372655902778" createdVersion="5" refreshedVersion="6" minRefreshableVersion="3" recordCount="48" xr:uid="{00000000-000A-0000-FFFF-FFFF10000000}">
  <cacheSource type="worksheet">
    <worksheetSource ref="A4:K52" sheet="Completed"/>
  </cacheSource>
  <cacheFields count="11">
    <cacheField name="Manual Classification" numFmtId="0">
      <sharedItems containsBlank="1" containsMixedTypes="1" containsNumber="1" containsInteger="1" minValue="0" maxValue="0" count="8">
        <s v="Project Leader Delegation Check"/>
        <s v="Close Project"/>
        <s v="General"/>
        <s v="Project Leader Change"/>
        <s v="Partners Change"/>
        <s v="Revenue Recognition Change"/>
        <m/>
        <n v="0" u="1"/>
      </sharedItems>
    </cacheField>
    <cacheField name="Issue Type" numFmtId="49">
      <sharedItems containsBlank="1"/>
    </cacheField>
    <cacheField name="Key" numFmtId="49">
      <sharedItems containsBlank="1"/>
    </cacheField>
    <cacheField name="Issue Id" numFmtId="49">
      <sharedItems containsString="0" containsBlank="1" containsNumber="1" containsInteger="1" minValue="1173845" maxValue="1225028"/>
    </cacheField>
    <cacheField name="Summary" numFmtId="0">
      <sharedItems containsBlank="1"/>
    </cacheField>
    <cacheField name="Status" numFmtId="49">
      <sharedItems containsBlank="1"/>
    </cacheField>
    <cacheField name="Resolution" numFmtId="0">
      <sharedItems containsBlank="1"/>
    </cacheField>
    <cacheField name="Created" numFmtId="22">
      <sharedItems containsNonDate="0" containsDate="1" containsString="0" containsBlank="1" minDate="2020-02-28T13:01:00" maxDate="2020-03-26T08:02:00"/>
    </cacheField>
    <cacheField name="Resolved" numFmtId="0">
      <sharedItems containsNonDate="0" containsDate="1" containsString="0" containsBlank="1" minDate="2020-03-03T17:01:00" maxDate="2020-03-26T09:36:00"/>
    </cacheField>
    <cacheField name="Reporter" numFmtId="0">
      <sharedItems containsBlank="1"/>
    </cacheField>
    <cacheField name="Assign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s v="Financial"/>
    <s v="CA-67167"/>
    <n v="1231917"/>
    <s v="Slatter, Sonja (30-Mar): FW: request to update the Masterdata in O2D"/>
    <s v="Closed"/>
    <s v="Completed"/>
    <d v="2020-03-30T14:11:00"/>
    <d v="2020-04-01T11:26:00"/>
    <s v="sla068"/>
    <s v="fle132"/>
  </r>
  <r>
    <x v="1"/>
    <s v="Financial"/>
    <s v="CA-67033"/>
    <n v="1225028"/>
    <s v="Do, Nga (26-Mar): S-00248"/>
    <s v="Closed"/>
    <s v="Completed"/>
    <d v="2020-03-26T08:02:00"/>
    <d v="2020-03-26T09:36:00"/>
    <s v="do005"/>
    <s v="fle132"/>
  </r>
  <r>
    <x v="2"/>
    <s v="Financial"/>
    <s v="CA-66918"/>
    <n v="1220534"/>
    <s v="Gounder, Kush (23-Mar): Close Project - O2D ID :  OD-209321. SAP ID : R-11878  "/>
    <s v="Closed"/>
    <s v="Completed"/>
    <d v="2020-03-23T16:11:00"/>
    <d v="2020-03-25T14:47:00"/>
    <s v="gou124"/>
    <s v="fle132"/>
  </r>
  <r>
    <x v="3"/>
    <s v="Financial"/>
    <s v="CA-66867"/>
    <n v="1215945"/>
    <s v="Love, Anne (20-Mar): CANCELLED  AND  BLOCKED"/>
    <s v="Closed"/>
    <s v="Completed"/>
    <d v="2020-03-20T13:23:00"/>
    <d v="2020-03-23T10:13:00"/>
    <s v="lov109"/>
    <s v="fle132"/>
  </r>
  <r>
    <x v="2"/>
    <s v="Financial"/>
    <s v="CA-66823"/>
    <n v="1213754"/>
    <s v="Wijeweera, Dilini (19-Mar): R-91401 Project Needs to be closed and manual revenue plans for new Project no. R-14803"/>
    <s v="Closed"/>
    <s v="Completed"/>
    <d v="2020-03-19T08:32:00"/>
    <d v="2020-03-19T10:31:00"/>
    <s v="wij012"/>
    <s v="fle132"/>
  </r>
  <r>
    <x v="4"/>
    <s v="Financial"/>
    <s v="CA-66734"/>
    <n v="1208869"/>
    <s v="Feng, Angela (16-Mar): R-12200 Incorrect Project Leader Delegation in SAP "/>
    <s v="Closed"/>
    <s v="Completed"/>
    <d v="2020-03-16T15:28:00"/>
    <d v="2020-03-16T16:14:00"/>
    <s v="fen074"/>
    <s v="fle132"/>
  </r>
  <r>
    <x v="1"/>
    <s v="Financial"/>
    <s v="CA-66660"/>
    <n v="1201541"/>
    <s v="Gounder, Kush (12-Mar): FW: Missing system delegation to process shopping cart"/>
    <s v="Closed"/>
    <s v="Completed"/>
    <d v="2020-03-12T12:17:00"/>
    <d v="2020-03-12T12:32:00"/>
    <s v="gou124"/>
    <s v="fle132"/>
  </r>
  <r>
    <x v="2"/>
    <s v="Financial"/>
    <s v="CA-66658"/>
    <n v="1201469"/>
    <s v="Muffatti, Kellie (12-Mar): R-14084 - Please delay close in SAP backend - outstanding invoice to be paid"/>
    <s v="Closed"/>
    <s v="Completed"/>
    <d v="2020-03-12T11:38:00"/>
    <d v="2020-03-12T12:18:00"/>
    <s v="muf002"/>
    <s v="fle132"/>
  </r>
  <r>
    <x v="0"/>
    <s v="Financial"/>
    <s v="CA-66656"/>
    <n v="1201441"/>
    <s v="Sayers, Jodie (12-Mar): Please update SAP position numbers"/>
    <s v="Closed"/>
    <s v="Completed"/>
    <d v="2020-03-12T11:22:00"/>
    <d v="2020-03-12T12:36:00"/>
    <s v="say015"/>
    <s v="fle132"/>
  </r>
  <r>
    <x v="5"/>
    <s v="Financial"/>
    <s v="CA-66550"/>
    <n v="1188731"/>
    <s v="McLure, Nicole (06-Mar): Activity Forecast for Profit Centre 23004"/>
    <s v="Closed"/>
    <s v="Completed"/>
    <d v="2020-03-06T09:40:00"/>
    <d v="2020-03-10T13:01:00"/>
    <s v="mcl271"/>
    <s v="fle132"/>
  </r>
  <r>
    <x v="5"/>
    <s v="Financial"/>
    <s v="CA-66502"/>
    <n v="1186381"/>
    <s v="Feng, Angela (05-Mar): R-14772 CCOP Cyber Common Operating Picture"/>
    <s v="Closed"/>
    <s v="Completed"/>
    <d v="2020-03-05T09:15:00"/>
    <d v="2020-03-06T11:51:00"/>
    <s v="fen074"/>
    <s v="fle132"/>
  </r>
  <r>
    <x v="1"/>
    <s v="Financial"/>
    <s v="CA-66409"/>
    <n v="1181724"/>
    <s v="System Reporter (03-Mar): FW: Delegations for Bernie McDonough"/>
    <s v="Closed"/>
    <s v="Completed"/>
    <d v="2020-03-03T09:03:00"/>
    <d v="2020-04-03T16:55:00"/>
    <s v="systemreporter"/>
    <s v="fle132"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Financial"/>
    <s v="CA-67033"/>
    <n v="1225028"/>
    <s v="Do, Nga (26-Mar): S-00248"/>
    <s v="Closed"/>
    <s v="Completed"/>
    <d v="2020-03-26T08:02:00"/>
    <d v="2020-03-26T09:36:00"/>
    <s v="do005"/>
    <s v="fle132"/>
  </r>
  <r>
    <x v="1"/>
    <s v="Financial"/>
    <s v="CA-66918"/>
    <n v="1220534"/>
    <s v="Gounder, Kush (23-Mar): Close Project - O2D ID :  OD-209321. SAP ID : R-11878  "/>
    <s v="Closed"/>
    <s v="Completed"/>
    <d v="2020-03-23T16:11:00"/>
    <d v="2020-03-25T14:47:00"/>
    <s v="gou124"/>
    <s v="fle132"/>
  </r>
  <r>
    <x v="2"/>
    <s v="Financial"/>
    <s v="CA-66867"/>
    <n v="1215945"/>
    <s v="Love, Anne (20-Mar): CANCELLED  AND  BLOCKED"/>
    <s v="Closed"/>
    <s v="Completed"/>
    <d v="2020-03-20T13:23:00"/>
    <d v="2020-03-23T10:13:00"/>
    <s v="lov109"/>
    <s v="fle132"/>
  </r>
  <r>
    <x v="1"/>
    <s v="Financial"/>
    <s v="CA-66823"/>
    <n v="1213754"/>
    <s v="Wijeweera, Dilini (19-Mar): R-91401 Project Needs to be closed and manual revenue plans for new Project no. R-14803"/>
    <s v="Closed"/>
    <s v="Completed"/>
    <d v="2020-03-19T08:32:00"/>
    <d v="2020-03-19T10:31:00"/>
    <s v="wij012"/>
    <s v="fle132"/>
  </r>
  <r>
    <x v="3"/>
    <s v="Financial"/>
    <s v="CA-66734"/>
    <n v="1208869"/>
    <s v="Feng, Angela (16-Mar): R-12200 Incorrect Project Leader Delegation in SAP "/>
    <s v="Closed"/>
    <s v="Completed"/>
    <d v="2020-03-16T15:28:00"/>
    <d v="2020-03-16T16:14:00"/>
    <s v="fen074"/>
    <s v="fle132"/>
  </r>
  <r>
    <x v="0"/>
    <s v="Financial"/>
    <s v="CA-66660"/>
    <n v="1201541"/>
    <s v="Gounder, Kush (12-Mar): FW: Missing system delegation to process shopping cart"/>
    <s v="Closed"/>
    <s v="Completed"/>
    <d v="2020-03-12T12:17:00"/>
    <d v="2020-03-12T12:32:00"/>
    <s v="gou124"/>
    <s v="fle132"/>
  </r>
  <r>
    <x v="1"/>
    <s v="Financial"/>
    <s v="CA-66658"/>
    <n v="1201469"/>
    <s v="Muffatti, Kellie (12-Mar): R-14084 - Please delay close in SAP backend - outstanding invoice to be paid"/>
    <s v="Closed"/>
    <s v="Completed"/>
    <d v="2020-03-12T11:38:00"/>
    <d v="2020-03-12T12:18:00"/>
    <s v="muf002"/>
    <s v="fle132"/>
  </r>
  <r>
    <x v="4"/>
    <s v="Financial"/>
    <s v="CA-66656"/>
    <n v="1201441"/>
    <s v="Sayers, Jodie (12-Mar): Please update SAP position numbers"/>
    <s v="Closed"/>
    <s v="Completed"/>
    <d v="2020-03-12T11:22:00"/>
    <d v="2020-03-12T12:36:00"/>
    <s v="say015"/>
    <s v="fle132"/>
  </r>
  <r>
    <x v="5"/>
    <s v="Financial"/>
    <s v="CA-66550"/>
    <n v="1188731"/>
    <s v="McLure, Nicole (06-Mar): Activity Forecast for Profit Centre 23004"/>
    <s v="Closed"/>
    <s v="Completed"/>
    <d v="2020-03-06T09:40:00"/>
    <d v="2020-03-10T13:01:00"/>
    <s v="mcl271"/>
    <s v="fle132"/>
  </r>
  <r>
    <x v="5"/>
    <s v="Financial"/>
    <s v="CA-66502"/>
    <n v="1186381"/>
    <s v="Feng, Angela (05-Mar): R-14772 CCOP Cyber Common Operating Picture"/>
    <s v="Closed"/>
    <s v="Completed"/>
    <d v="2020-03-05T09:15:00"/>
    <d v="2020-03-06T11:51:00"/>
    <s v="fen074"/>
    <s v="fle132"/>
  </r>
  <r>
    <x v="4"/>
    <s v="Financial"/>
    <s v="CA-66340"/>
    <n v="1173845"/>
    <s v="Slatter, Sonja (28-Feb): request to update the Masterdata in O2D"/>
    <s v="Closed"/>
    <s v="Completed"/>
    <d v="2020-02-28T13:01:00"/>
    <d v="2020-03-03T17:01:00"/>
    <s v="sla068"/>
    <s v="fle132"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  <r>
    <x v="6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E4:F12" firstHeaderRow="1" firstDataRow="1" firstDataCol="1"/>
  <pivotFields count="11">
    <pivotField axis="axisRow" dataField="1" showAll="0">
      <items count="9">
        <item x="6"/>
        <item m="1" x="7"/>
        <item x="3"/>
        <item x="2"/>
        <item x="0"/>
        <item x="5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Manual Classifica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4:B12" firstHeaderRow="1" firstDataRow="1" firstDataCol="1"/>
  <pivotFields count="11">
    <pivotField axis="axisRow" showAll="0">
      <items count="17">
        <item x="2"/>
        <item m="1" x="15"/>
        <item m="1" x="10"/>
        <item m="1" x="12"/>
        <item m="1" x="9"/>
        <item m="1" x="14"/>
        <item x="4"/>
        <item x="5"/>
        <item x="6"/>
        <item x="1"/>
        <item m="1" x="11"/>
        <item x="3"/>
        <item m="1" x="7"/>
        <item m="1" x="13"/>
        <item m="1" x="8"/>
        <item x="0"/>
        <item t="default"/>
      </items>
    </pivotField>
    <pivotField dataField="1" showAll="0"/>
    <pivotField showAll="0"/>
    <pivotField showAll="0" defaultSubtotal="0"/>
    <pivotField showAll="0"/>
    <pivotField showAll="0"/>
    <pivotField showAll="0"/>
    <pivotField numFmtId="22" showAll="0"/>
    <pivotField showAll="0"/>
    <pivotField showAll="0"/>
    <pivotField showAll="0"/>
  </pivotFields>
  <rowFields count="1">
    <field x="0"/>
  </rowFields>
  <rowItems count="8">
    <i>
      <x/>
    </i>
    <i>
      <x v="6"/>
    </i>
    <i>
      <x v="7"/>
    </i>
    <i>
      <x v="8"/>
    </i>
    <i>
      <x v="9"/>
    </i>
    <i>
      <x v="11"/>
    </i>
    <i>
      <x v="15"/>
    </i>
    <i t="grand">
      <x/>
    </i>
  </rowItems>
  <colItems count="1">
    <i/>
  </colItems>
  <dataFields count="1">
    <dataField name="Count of Issue T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jira-sd.csiro.au/issues/?jql=project+%3D+11200+AND+createdDate+%3E%3D+startOfMonth%28-1%29+AND+createdDate+%3C%3D+endOfMonth%28-1%29+AND+fixVersion+is+EMPTY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jira-sd.csiro.au/issues/?jql=project+%3D+11200+AND+createdDate+%3E%3D+startOfMonth%28-1%29+AND+createdDate+%3C%3D+endOfMonth%28-1%29+AND+fixVersion+is+EMPT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>
      <selection activeCell="E7" sqref="E7"/>
    </sheetView>
  </sheetViews>
  <sheetFormatPr defaultRowHeight="15" x14ac:dyDescent="0.25"/>
  <cols>
    <col min="1" max="1" width="30.28515625" bestFit="1" customWidth="1"/>
    <col min="2" max="2" width="18.5703125" customWidth="1"/>
    <col min="5" max="5" width="30.28515625" bestFit="1" customWidth="1"/>
    <col min="6" max="6" width="28.42578125" customWidth="1"/>
    <col min="8" max="8" width="25.140625" bestFit="1" customWidth="1"/>
    <col min="9" max="9" width="26.5703125" bestFit="1" customWidth="1"/>
  </cols>
  <sheetData>
    <row r="1" spans="1:6" x14ac:dyDescent="0.25">
      <c r="A1" s="21" t="s">
        <v>32</v>
      </c>
      <c r="E1" s="21" t="s">
        <v>12</v>
      </c>
    </row>
    <row r="4" spans="1:6" x14ac:dyDescent="0.25">
      <c r="A4" s="18" t="s">
        <v>17</v>
      </c>
      <c r="B4" t="s">
        <v>19</v>
      </c>
      <c r="E4" s="18" t="s">
        <v>17</v>
      </c>
      <c r="F4" t="s">
        <v>21</v>
      </c>
    </row>
    <row r="5" spans="1:6" x14ac:dyDescent="0.25">
      <c r="A5" s="19" t="s">
        <v>14</v>
      </c>
      <c r="B5" s="20">
        <v>3</v>
      </c>
      <c r="E5" s="19" t="s">
        <v>20</v>
      </c>
      <c r="F5" s="20"/>
    </row>
    <row r="6" spans="1:6" x14ac:dyDescent="0.25">
      <c r="A6" s="19" t="s">
        <v>16</v>
      </c>
      <c r="B6" s="20">
        <v>1</v>
      </c>
      <c r="E6" s="19" t="s">
        <v>16</v>
      </c>
      <c r="F6" s="20">
        <v>1</v>
      </c>
    </row>
    <row r="7" spans="1:6" x14ac:dyDescent="0.25">
      <c r="A7" s="19" t="s">
        <v>27</v>
      </c>
      <c r="B7" s="20">
        <v>2</v>
      </c>
      <c r="E7" s="19" t="s">
        <v>24</v>
      </c>
      <c r="F7" s="20">
        <v>1</v>
      </c>
    </row>
    <row r="8" spans="1:6" x14ac:dyDescent="0.25">
      <c r="A8" s="19" t="s">
        <v>20</v>
      </c>
      <c r="B8" s="20"/>
      <c r="E8" s="19" t="s">
        <v>30</v>
      </c>
      <c r="F8" s="20">
        <v>2</v>
      </c>
    </row>
    <row r="9" spans="1:6" x14ac:dyDescent="0.25">
      <c r="A9" s="19" t="s">
        <v>30</v>
      </c>
      <c r="B9" s="20">
        <v>3</v>
      </c>
      <c r="E9" s="19" t="s">
        <v>27</v>
      </c>
      <c r="F9" s="20">
        <v>2</v>
      </c>
    </row>
    <row r="10" spans="1:6" x14ac:dyDescent="0.25">
      <c r="A10" s="19" t="s">
        <v>24</v>
      </c>
      <c r="B10" s="20">
        <v>1</v>
      </c>
      <c r="E10" s="19" t="s">
        <v>14</v>
      </c>
      <c r="F10" s="20">
        <v>3</v>
      </c>
    </row>
    <row r="11" spans="1:6" x14ac:dyDescent="0.25">
      <c r="A11" s="19" t="s">
        <v>34</v>
      </c>
      <c r="B11" s="20">
        <v>2</v>
      </c>
      <c r="E11" s="19" t="s">
        <v>34</v>
      </c>
      <c r="F11" s="20">
        <v>2</v>
      </c>
    </row>
    <row r="12" spans="1:6" x14ac:dyDescent="0.25">
      <c r="A12" s="19" t="s">
        <v>18</v>
      </c>
      <c r="B12" s="20">
        <v>12</v>
      </c>
      <c r="E12" s="19" t="s">
        <v>18</v>
      </c>
      <c r="F12" s="20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4"/>
  <sheetViews>
    <sheetView workbookViewId="0">
      <selection activeCell="A17" sqref="A17:A28"/>
    </sheetView>
  </sheetViews>
  <sheetFormatPr defaultColWidth="9.140625" defaultRowHeight="15.95" customHeight="1" x14ac:dyDescent="0.2"/>
  <cols>
    <col min="1" max="1" width="32.5703125" style="16" customWidth="1"/>
    <col min="2" max="2" width="15.5703125" style="16" customWidth="1"/>
    <col min="3" max="3" width="9.140625" style="16"/>
    <col min="4" max="4" width="13.85546875" style="16" customWidth="1"/>
    <col min="5" max="5" width="76.7109375" style="16" customWidth="1"/>
    <col min="6" max="6" width="11.7109375" style="16" bestFit="1" customWidth="1"/>
    <col min="7" max="7" width="12.28515625" style="16" bestFit="1" customWidth="1"/>
    <col min="8" max="9" width="17.28515625" style="16" bestFit="1" customWidth="1"/>
    <col min="10" max="10" width="20.42578125" style="16" customWidth="1"/>
    <col min="11" max="11" width="14.85546875" style="16" customWidth="1"/>
    <col min="12" max="16384" width="9.140625" style="16"/>
  </cols>
  <sheetData>
    <row r="1" spans="1:12" ht="15.95" customHeight="1" x14ac:dyDescent="0.2">
      <c r="B1" s="1"/>
      <c r="C1" s="2"/>
      <c r="D1" s="2"/>
      <c r="E1" s="2"/>
      <c r="F1" s="2"/>
      <c r="G1" s="2"/>
      <c r="H1" s="2"/>
      <c r="I1" s="3"/>
      <c r="J1" s="2"/>
      <c r="K1" s="2"/>
    </row>
    <row r="2" spans="1:12" ht="15.95" customHeight="1" x14ac:dyDescent="0.2">
      <c r="B2" s="4" t="s">
        <v>0</v>
      </c>
      <c r="C2" s="5"/>
      <c r="D2" s="5"/>
      <c r="E2" s="5"/>
      <c r="F2" s="5"/>
      <c r="G2" s="5"/>
      <c r="H2" s="5"/>
      <c r="I2" s="6"/>
      <c r="J2" s="5"/>
      <c r="K2" s="5"/>
    </row>
    <row r="3" spans="1:12" ht="15.95" customHeight="1" x14ac:dyDescent="0.2">
      <c r="B3" s="7"/>
      <c r="C3" s="8"/>
      <c r="D3" s="8"/>
      <c r="E3" s="8"/>
      <c r="F3" s="8"/>
      <c r="G3" s="8"/>
      <c r="H3" s="8"/>
      <c r="I3" s="9"/>
      <c r="J3" s="8"/>
      <c r="K3" s="8"/>
    </row>
    <row r="4" spans="1:12" ht="15.95" customHeight="1" x14ac:dyDescent="0.2">
      <c r="A4" s="17" t="s">
        <v>13</v>
      </c>
      <c r="B4" s="10" t="s">
        <v>1</v>
      </c>
      <c r="C4" s="10" t="s">
        <v>2</v>
      </c>
      <c r="D4" s="10" t="s">
        <v>28</v>
      </c>
      <c r="E4" s="10" t="s">
        <v>3</v>
      </c>
      <c r="F4" s="10" t="s">
        <v>6</v>
      </c>
      <c r="G4" s="10" t="s">
        <v>7</v>
      </c>
      <c r="H4" s="10" t="s">
        <v>8</v>
      </c>
      <c r="I4" s="10" t="s">
        <v>9</v>
      </c>
      <c r="J4" s="10" t="s">
        <v>5</v>
      </c>
      <c r="K4" s="10" t="s">
        <v>4</v>
      </c>
    </row>
    <row r="5" spans="1:12" ht="15.95" customHeight="1" x14ac:dyDescent="0.2">
      <c r="A5" s="16" t="s">
        <v>34</v>
      </c>
      <c r="B5" s="11" t="s">
        <v>10</v>
      </c>
      <c r="C5" s="12" t="s">
        <v>66</v>
      </c>
      <c r="D5" s="12">
        <v>1231917</v>
      </c>
      <c r="E5" s="13" t="s">
        <v>67</v>
      </c>
      <c r="F5" s="11" t="s">
        <v>11</v>
      </c>
      <c r="G5" s="13" t="s">
        <v>12</v>
      </c>
      <c r="H5" s="15">
        <v>43920.59097222222</v>
      </c>
      <c r="I5" s="15">
        <v>43922.476388888892</v>
      </c>
      <c r="J5" s="13" t="s">
        <v>65</v>
      </c>
      <c r="K5" s="13" t="s">
        <v>33</v>
      </c>
      <c r="L5" s="24" t="str">
        <f>A5</f>
        <v>Partners Change</v>
      </c>
    </row>
    <row r="6" spans="1:12" ht="15.95" customHeight="1" x14ac:dyDescent="0.2">
      <c r="A6" s="16" t="s">
        <v>30</v>
      </c>
      <c r="B6" s="11" t="s">
        <v>10</v>
      </c>
      <c r="C6" s="12" t="s">
        <v>36</v>
      </c>
      <c r="D6" s="12">
        <v>1225028</v>
      </c>
      <c r="E6" s="13" t="s">
        <v>37</v>
      </c>
      <c r="F6" s="11" t="s">
        <v>11</v>
      </c>
      <c r="G6" s="13" t="s">
        <v>12</v>
      </c>
      <c r="H6" s="15">
        <v>43916.334722222222</v>
      </c>
      <c r="I6" s="15">
        <v>43916.4</v>
      </c>
      <c r="J6" s="13" t="s">
        <v>38</v>
      </c>
      <c r="K6" s="13" t="s">
        <v>33</v>
      </c>
      <c r="L6" s="16" t="str">
        <f t="shared" ref="L6:L44" si="0">A6</f>
        <v>Project Leader Delegation Check</v>
      </c>
    </row>
    <row r="7" spans="1:12" ht="15.95" customHeight="1" x14ac:dyDescent="0.2">
      <c r="A7" s="16" t="s">
        <v>14</v>
      </c>
      <c r="B7" s="11" t="s">
        <v>10</v>
      </c>
      <c r="C7" s="12" t="s">
        <v>39</v>
      </c>
      <c r="D7" s="12">
        <v>1220534</v>
      </c>
      <c r="E7" s="13" t="s">
        <v>40</v>
      </c>
      <c r="F7" s="11" t="s">
        <v>11</v>
      </c>
      <c r="G7" s="14" t="s">
        <v>12</v>
      </c>
      <c r="H7" s="15">
        <v>43913.674305555556</v>
      </c>
      <c r="I7" s="15">
        <v>43915.615972222222</v>
      </c>
      <c r="J7" s="13" t="s">
        <v>41</v>
      </c>
      <c r="K7" s="13" t="s">
        <v>33</v>
      </c>
      <c r="L7" s="16" t="str">
        <f t="shared" si="0"/>
        <v>Close Project</v>
      </c>
    </row>
    <row r="8" spans="1:12" ht="15.95" customHeight="1" x14ac:dyDescent="0.2">
      <c r="A8" s="16" t="s">
        <v>24</v>
      </c>
      <c r="B8" s="11" t="s">
        <v>10</v>
      </c>
      <c r="C8" s="12" t="s">
        <v>42</v>
      </c>
      <c r="D8" s="12">
        <v>1215945</v>
      </c>
      <c r="E8" s="13" t="s">
        <v>43</v>
      </c>
      <c r="F8" s="11" t="s">
        <v>11</v>
      </c>
      <c r="G8" s="14" t="s">
        <v>12</v>
      </c>
      <c r="H8" s="15">
        <v>43910.557638888888</v>
      </c>
      <c r="I8" s="15">
        <v>43913.425694444442</v>
      </c>
      <c r="J8" s="13" t="s">
        <v>44</v>
      </c>
      <c r="K8" s="13" t="s">
        <v>33</v>
      </c>
      <c r="L8" s="16" t="str">
        <f t="shared" si="0"/>
        <v>General</v>
      </c>
    </row>
    <row r="9" spans="1:12" ht="15.95" customHeight="1" x14ac:dyDescent="0.2">
      <c r="A9" s="16" t="s">
        <v>14</v>
      </c>
      <c r="B9" s="11" t="s">
        <v>10</v>
      </c>
      <c r="C9" s="12" t="s">
        <v>45</v>
      </c>
      <c r="D9" s="12">
        <v>1213754</v>
      </c>
      <c r="E9" s="13" t="s">
        <v>46</v>
      </c>
      <c r="F9" s="11" t="s">
        <v>11</v>
      </c>
      <c r="G9" s="14" t="s">
        <v>12</v>
      </c>
      <c r="H9" s="15">
        <v>43909.355555555558</v>
      </c>
      <c r="I9" s="15">
        <v>43909.438194444447</v>
      </c>
      <c r="J9" s="13" t="s">
        <v>47</v>
      </c>
      <c r="K9" s="13" t="s">
        <v>33</v>
      </c>
      <c r="L9" s="16" t="str">
        <f t="shared" si="0"/>
        <v>Close Project</v>
      </c>
    </row>
    <row r="10" spans="1:12" ht="15.95" customHeight="1" x14ac:dyDescent="0.2">
      <c r="A10" s="16" t="s">
        <v>16</v>
      </c>
      <c r="B10" s="11" t="s">
        <v>10</v>
      </c>
      <c r="C10" s="12" t="s">
        <v>48</v>
      </c>
      <c r="D10" s="12">
        <v>1208869</v>
      </c>
      <c r="E10" s="13" t="s">
        <v>49</v>
      </c>
      <c r="F10" s="11" t="s">
        <v>11</v>
      </c>
      <c r="G10" s="13" t="s">
        <v>12</v>
      </c>
      <c r="H10" s="15">
        <v>43906.644444444442</v>
      </c>
      <c r="I10" s="15">
        <v>43906.676388888889</v>
      </c>
      <c r="J10" s="13" t="s">
        <v>50</v>
      </c>
      <c r="K10" s="13" t="s">
        <v>33</v>
      </c>
      <c r="L10" s="16" t="str">
        <f>A10</f>
        <v>Project Leader Change</v>
      </c>
    </row>
    <row r="11" spans="1:12" ht="15.95" customHeight="1" x14ac:dyDescent="0.2">
      <c r="A11" s="16" t="s">
        <v>30</v>
      </c>
      <c r="B11" s="11" t="s">
        <v>10</v>
      </c>
      <c r="C11" s="12" t="s">
        <v>51</v>
      </c>
      <c r="D11" s="12">
        <v>1201541</v>
      </c>
      <c r="E11" s="13" t="s">
        <v>52</v>
      </c>
      <c r="F11" s="11" t="s">
        <v>11</v>
      </c>
      <c r="G11" s="13" t="s">
        <v>12</v>
      </c>
      <c r="H11" s="15">
        <v>43902.511805555558</v>
      </c>
      <c r="I11" s="15">
        <v>43902.522222222222</v>
      </c>
      <c r="J11" s="13" t="s">
        <v>41</v>
      </c>
      <c r="K11" s="13" t="s">
        <v>33</v>
      </c>
      <c r="L11" s="16" t="str">
        <f t="shared" si="0"/>
        <v>Project Leader Delegation Check</v>
      </c>
    </row>
    <row r="12" spans="1:12" ht="15.75" customHeight="1" x14ac:dyDescent="0.2">
      <c r="A12" s="16" t="s">
        <v>14</v>
      </c>
      <c r="B12" s="11" t="s">
        <v>10</v>
      </c>
      <c r="C12" s="12" t="s">
        <v>53</v>
      </c>
      <c r="D12" s="12">
        <v>1201469</v>
      </c>
      <c r="E12" s="13" t="s">
        <v>54</v>
      </c>
      <c r="F12" s="11" t="s">
        <v>11</v>
      </c>
      <c r="G12" s="13" t="s">
        <v>12</v>
      </c>
      <c r="H12" s="15">
        <v>43902.484722222223</v>
      </c>
      <c r="I12" s="15">
        <v>43902.512499999997</v>
      </c>
      <c r="J12" s="13" t="s">
        <v>35</v>
      </c>
      <c r="K12" s="13" t="s">
        <v>33</v>
      </c>
      <c r="L12" s="16" t="str">
        <f t="shared" si="0"/>
        <v>Close Project</v>
      </c>
    </row>
    <row r="13" spans="1:12" ht="15.95" customHeight="1" x14ac:dyDescent="0.2">
      <c r="A13" s="16" t="s">
        <v>34</v>
      </c>
      <c r="B13" s="11" t="s">
        <v>10</v>
      </c>
      <c r="C13" s="12" t="s">
        <v>55</v>
      </c>
      <c r="D13" s="12">
        <v>1201441</v>
      </c>
      <c r="E13" s="13" t="s">
        <v>56</v>
      </c>
      <c r="F13" s="11" t="s">
        <v>11</v>
      </c>
      <c r="G13" s="13" t="s">
        <v>12</v>
      </c>
      <c r="H13" s="15">
        <v>43902.473611111112</v>
      </c>
      <c r="I13" s="15">
        <v>43902.525000000001</v>
      </c>
      <c r="J13" s="13" t="s">
        <v>57</v>
      </c>
      <c r="K13" s="13" t="s">
        <v>33</v>
      </c>
      <c r="L13" s="16" t="str">
        <f t="shared" si="0"/>
        <v>Partners Change</v>
      </c>
    </row>
    <row r="14" spans="1:12" ht="15.95" customHeight="1" x14ac:dyDescent="0.2">
      <c r="A14" s="16" t="s">
        <v>27</v>
      </c>
      <c r="B14" s="11" t="s">
        <v>10</v>
      </c>
      <c r="C14" s="12" t="s">
        <v>58</v>
      </c>
      <c r="D14" s="12">
        <v>1188731</v>
      </c>
      <c r="E14" s="13" t="s">
        <v>59</v>
      </c>
      <c r="F14" s="11" t="s">
        <v>11</v>
      </c>
      <c r="G14" s="13" t="s">
        <v>12</v>
      </c>
      <c r="H14" s="15">
        <v>43896.402777777781</v>
      </c>
      <c r="I14" s="15">
        <v>43900.542361111111</v>
      </c>
      <c r="J14" s="13" t="s">
        <v>60</v>
      </c>
      <c r="K14" s="13" t="s">
        <v>33</v>
      </c>
      <c r="L14" s="16" t="str">
        <f t="shared" si="0"/>
        <v>Revenue Recognition Change</v>
      </c>
    </row>
    <row r="15" spans="1:12" ht="15.95" customHeight="1" x14ac:dyDescent="0.2">
      <c r="A15" s="16" t="s">
        <v>27</v>
      </c>
      <c r="B15" s="11" t="s">
        <v>10</v>
      </c>
      <c r="C15" s="12" t="s">
        <v>61</v>
      </c>
      <c r="D15" s="12">
        <v>1186381</v>
      </c>
      <c r="E15" s="13" t="s">
        <v>62</v>
      </c>
      <c r="F15" s="11" t="s">
        <v>11</v>
      </c>
      <c r="G15" s="13" t="s">
        <v>12</v>
      </c>
      <c r="H15" s="15">
        <v>43895.385416666664</v>
      </c>
      <c r="I15" s="15">
        <v>43896.493750000001</v>
      </c>
      <c r="J15" s="13" t="s">
        <v>50</v>
      </c>
      <c r="K15" s="13" t="s">
        <v>33</v>
      </c>
      <c r="L15" s="16" t="str">
        <f t="shared" si="0"/>
        <v>Revenue Recognition Change</v>
      </c>
    </row>
    <row r="16" spans="1:12" ht="15.95" customHeight="1" x14ac:dyDescent="0.2">
      <c r="A16" s="16" t="s">
        <v>30</v>
      </c>
      <c r="B16" s="11" t="s">
        <v>10</v>
      </c>
      <c r="C16" s="12" t="s">
        <v>68</v>
      </c>
      <c r="D16" s="12">
        <v>1181724</v>
      </c>
      <c r="E16" s="13" t="s">
        <v>69</v>
      </c>
      <c r="F16" s="11" t="s">
        <v>11</v>
      </c>
      <c r="G16" s="14" t="s">
        <v>12</v>
      </c>
      <c r="H16" s="15">
        <v>43893.377083333333</v>
      </c>
      <c r="I16" s="15">
        <v>43924.704861111109</v>
      </c>
      <c r="J16" s="13" t="s">
        <v>70</v>
      </c>
      <c r="K16" s="14" t="s">
        <v>33</v>
      </c>
      <c r="L16" s="16" t="str">
        <f t="shared" si="0"/>
        <v>Project Leader Delegation Check</v>
      </c>
    </row>
    <row r="17" spans="2:12" ht="15.95" customHeight="1" x14ac:dyDescent="0.2">
      <c r="B17" s="11"/>
      <c r="C17" s="12"/>
      <c r="D17" s="12"/>
      <c r="E17" s="13"/>
      <c r="F17" s="11"/>
      <c r="G17" s="13"/>
      <c r="H17" s="15"/>
      <c r="I17" s="15"/>
      <c r="J17" s="13"/>
      <c r="K17" s="13"/>
      <c r="L17" s="16">
        <f t="shared" si="0"/>
        <v>0</v>
      </c>
    </row>
    <row r="18" spans="2:12" ht="15.95" customHeight="1" x14ac:dyDescent="0.2">
      <c r="B18" s="11"/>
      <c r="C18" s="12"/>
      <c r="D18" s="12"/>
      <c r="E18" s="13"/>
      <c r="F18" s="11"/>
      <c r="G18" s="14"/>
      <c r="H18" s="15"/>
      <c r="I18" s="15"/>
      <c r="J18" s="13"/>
      <c r="K18" s="14"/>
      <c r="L18" s="16">
        <f t="shared" si="0"/>
        <v>0</v>
      </c>
    </row>
    <row r="19" spans="2:12" ht="15.95" customHeight="1" x14ac:dyDescent="0.2">
      <c r="B19" s="11"/>
      <c r="C19" s="12"/>
      <c r="D19" s="12"/>
      <c r="E19" s="13"/>
      <c r="F19" s="11"/>
      <c r="G19" s="14"/>
      <c r="H19" s="15"/>
      <c r="I19" s="15"/>
      <c r="J19" s="13"/>
      <c r="K19" s="14"/>
      <c r="L19" s="16">
        <f t="shared" si="0"/>
        <v>0</v>
      </c>
    </row>
    <row r="20" spans="2:12" ht="15.95" customHeight="1" x14ac:dyDescent="0.2">
      <c r="B20" s="11"/>
      <c r="C20" s="12"/>
      <c r="D20" s="12"/>
      <c r="E20" s="13"/>
      <c r="F20" s="11"/>
      <c r="G20" s="14"/>
      <c r="H20" s="15"/>
      <c r="I20" s="15"/>
      <c r="J20" s="13"/>
      <c r="K20" s="14"/>
      <c r="L20" s="16">
        <f t="shared" si="0"/>
        <v>0</v>
      </c>
    </row>
    <row r="21" spans="2:12" ht="15.95" customHeight="1" x14ac:dyDescent="0.2">
      <c r="B21" s="11"/>
      <c r="C21" s="12"/>
      <c r="D21" s="12"/>
      <c r="E21" s="13"/>
      <c r="F21" s="11"/>
      <c r="G21" s="14"/>
      <c r="H21" s="15"/>
      <c r="I21" s="15"/>
      <c r="J21" s="13"/>
      <c r="K21" s="14"/>
      <c r="L21" s="16">
        <f t="shared" si="0"/>
        <v>0</v>
      </c>
    </row>
    <row r="22" spans="2:12" ht="15.95" customHeight="1" x14ac:dyDescent="0.2">
      <c r="B22" s="11"/>
      <c r="C22" s="12"/>
      <c r="D22" s="12"/>
      <c r="E22" s="13"/>
      <c r="F22" s="11"/>
      <c r="G22" s="13"/>
      <c r="H22" s="15"/>
      <c r="I22" s="15"/>
      <c r="J22" s="13"/>
      <c r="K22" s="13"/>
      <c r="L22" s="16">
        <f t="shared" si="0"/>
        <v>0</v>
      </c>
    </row>
    <row r="23" spans="2:12" ht="15.95" customHeight="1" x14ac:dyDescent="0.2">
      <c r="B23" s="11"/>
      <c r="C23" s="12"/>
      <c r="D23" s="12"/>
      <c r="E23" s="13"/>
      <c r="F23" s="11"/>
      <c r="G23" s="13"/>
      <c r="H23" s="15"/>
      <c r="I23" s="15"/>
      <c r="J23" s="13"/>
      <c r="K23" s="13"/>
      <c r="L23" s="16">
        <f t="shared" si="0"/>
        <v>0</v>
      </c>
    </row>
    <row r="24" spans="2:12" ht="15.95" customHeight="1" x14ac:dyDescent="0.2">
      <c r="B24" s="11"/>
      <c r="C24" s="12"/>
      <c r="D24" s="12"/>
      <c r="E24" s="13"/>
      <c r="F24" s="11"/>
      <c r="G24" s="14"/>
      <c r="H24" s="15"/>
      <c r="I24" s="15"/>
      <c r="J24" s="13"/>
      <c r="K24" s="13"/>
      <c r="L24" s="16">
        <f t="shared" si="0"/>
        <v>0</v>
      </c>
    </row>
    <row r="25" spans="2:12" ht="15.95" customHeight="1" x14ac:dyDescent="0.2">
      <c r="B25" s="11"/>
      <c r="C25" s="12"/>
      <c r="D25" s="12"/>
      <c r="E25" s="13"/>
      <c r="F25" s="11"/>
      <c r="G25" s="13"/>
      <c r="H25" s="15"/>
      <c r="I25" s="15"/>
      <c r="J25" s="13"/>
      <c r="K25" s="13"/>
      <c r="L25" s="16">
        <f t="shared" si="0"/>
        <v>0</v>
      </c>
    </row>
    <row r="26" spans="2:12" ht="15.95" customHeight="1" x14ac:dyDescent="0.2">
      <c r="B26" s="11"/>
      <c r="C26" s="12"/>
      <c r="D26" s="12"/>
      <c r="E26" s="13"/>
      <c r="F26" s="11"/>
      <c r="G26" s="13"/>
      <c r="H26" s="15"/>
      <c r="I26" s="15"/>
      <c r="J26" s="13"/>
      <c r="K26" s="13"/>
      <c r="L26" s="16">
        <f t="shared" si="0"/>
        <v>0</v>
      </c>
    </row>
    <row r="27" spans="2:12" ht="15.95" customHeight="1" x14ac:dyDescent="0.2">
      <c r="B27" s="11"/>
      <c r="C27" s="12"/>
      <c r="D27" s="12"/>
      <c r="E27" s="13"/>
      <c r="F27" s="11"/>
      <c r="G27" s="14"/>
      <c r="H27" s="15"/>
      <c r="I27" s="15"/>
      <c r="J27" s="13"/>
      <c r="K27" s="13"/>
      <c r="L27" s="16">
        <f t="shared" si="0"/>
        <v>0</v>
      </c>
    </row>
    <row r="28" spans="2:12" ht="15.95" customHeight="1" x14ac:dyDescent="0.2">
      <c r="B28" s="11"/>
      <c r="C28" s="12"/>
      <c r="D28" s="12"/>
      <c r="E28" s="13"/>
      <c r="F28" s="11"/>
      <c r="G28" s="13"/>
      <c r="H28" s="15"/>
      <c r="I28" s="15"/>
      <c r="J28" s="13"/>
      <c r="K28" s="13"/>
      <c r="L28" s="16">
        <f t="shared" si="0"/>
        <v>0</v>
      </c>
    </row>
    <row r="29" spans="2:12" ht="15.95" customHeight="1" x14ac:dyDescent="0.2">
      <c r="B29" s="11"/>
      <c r="C29" s="12"/>
      <c r="D29" s="12"/>
      <c r="E29" s="13"/>
      <c r="F29" s="11"/>
      <c r="G29" s="13"/>
      <c r="H29" s="15"/>
      <c r="I29" s="15"/>
      <c r="J29" s="13"/>
      <c r="K29" s="13"/>
      <c r="L29" s="16">
        <f t="shared" si="0"/>
        <v>0</v>
      </c>
    </row>
    <row r="30" spans="2:12" ht="15.95" customHeight="1" x14ac:dyDescent="0.2">
      <c r="B30" s="11"/>
      <c r="C30" s="12"/>
      <c r="D30" s="12"/>
      <c r="E30" s="13"/>
      <c r="F30" s="11"/>
      <c r="G30" s="13"/>
      <c r="H30" s="15"/>
      <c r="I30" s="15"/>
      <c r="J30" s="13"/>
      <c r="K30" s="13"/>
      <c r="L30" s="16">
        <f t="shared" si="0"/>
        <v>0</v>
      </c>
    </row>
    <row r="31" spans="2:12" ht="15.95" customHeight="1" x14ac:dyDescent="0.2">
      <c r="B31" s="11"/>
      <c r="C31" s="12"/>
      <c r="D31" s="12"/>
      <c r="E31" s="13"/>
      <c r="F31" s="11"/>
      <c r="G31" s="13"/>
      <c r="H31" s="15"/>
      <c r="I31" s="15"/>
      <c r="J31" s="13"/>
      <c r="K31" s="13"/>
      <c r="L31" s="16">
        <f t="shared" si="0"/>
        <v>0</v>
      </c>
    </row>
    <row r="32" spans="2:12" ht="15.95" customHeight="1" x14ac:dyDescent="0.2">
      <c r="B32" s="11"/>
      <c r="C32" s="12"/>
      <c r="D32" s="12"/>
      <c r="E32" s="13"/>
      <c r="F32" s="11"/>
      <c r="G32" s="13"/>
      <c r="H32" s="15"/>
      <c r="I32" s="15"/>
      <c r="J32" s="13"/>
      <c r="K32" s="13"/>
      <c r="L32" s="16">
        <f t="shared" si="0"/>
        <v>0</v>
      </c>
    </row>
    <row r="33" spans="1:12" ht="15.95" customHeight="1" x14ac:dyDescent="0.2">
      <c r="A33" s="23"/>
      <c r="B33" s="11"/>
      <c r="C33" s="12"/>
      <c r="D33" s="12"/>
      <c r="E33" s="13"/>
      <c r="F33" s="11"/>
      <c r="G33" s="13"/>
      <c r="H33" s="15"/>
      <c r="I33" s="15"/>
      <c r="J33" s="13"/>
      <c r="K33" s="13"/>
      <c r="L33" s="16">
        <f t="shared" si="0"/>
        <v>0</v>
      </c>
    </row>
    <row r="34" spans="1:12" ht="15.95" customHeight="1" x14ac:dyDescent="0.2">
      <c r="B34" s="11"/>
      <c r="C34" s="12"/>
      <c r="D34" s="12"/>
      <c r="E34" s="13"/>
      <c r="F34" s="11"/>
      <c r="G34" s="13"/>
      <c r="H34" s="15"/>
      <c r="I34" s="15"/>
      <c r="J34" s="13"/>
      <c r="K34" s="13"/>
      <c r="L34" s="16">
        <f t="shared" si="0"/>
        <v>0</v>
      </c>
    </row>
    <row r="35" spans="1:12" ht="15.95" customHeight="1" x14ac:dyDescent="0.2">
      <c r="B35" s="11"/>
      <c r="C35" s="12"/>
      <c r="D35" s="12"/>
      <c r="E35" s="13"/>
      <c r="F35" s="11"/>
      <c r="G35" s="13"/>
      <c r="H35" s="15"/>
      <c r="I35" s="15"/>
      <c r="J35" s="13"/>
      <c r="K35" s="13"/>
      <c r="L35" s="16">
        <f t="shared" si="0"/>
        <v>0</v>
      </c>
    </row>
    <row r="36" spans="1:12" ht="15.95" customHeight="1" x14ac:dyDescent="0.2">
      <c r="B36" s="11"/>
      <c r="C36" s="12"/>
      <c r="D36" s="12"/>
      <c r="E36" s="13"/>
      <c r="F36" s="11"/>
      <c r="G36" s="14"/>
      <c r="H36" s="15"/>
      <c r="I36" s="15"/>
      <c r="J36" s="13"/>
      <c r="K36" s="13"/>
      <c r="L36" s="16">
        <f t="shared" si="0"/>
        <v>0</v>
      </c>
    </row>
    <row r="37" spans="1:12" ht="15.95" customHeight="1" x14ac:dyDescent="0.2">
      <c r="B37" s="11"/>
      <c r="C37" s="12"/>
      <c r="D37" s="12"/>
      <c r="E37" s="13"/>
      <c r="F37" s="11"/>
      <c r="G37" s="14"/>
      <c r="H37" s="15"/>
      <c r="I37" s="15"/>
      <c r="J37" s="13"/>
      <c r="K37" s="13"/>
      <c r="L37" s="16">
        <f t="shared" si="0"/>
        <v>0</v>
      </c>
    </row>
    <row r="38" spans="1:12" ht="15.95" customHeight="1" x14ac:dyDescent="0.2">
      <c r="B38" s="11"/>
      <c r="C38" s="12"/>
      <c r="D38" s="12"/>
      <c r="E38" s="13"/>
      <c r="F38" s="11"/>
      <c r="G38" s="13"/>
      <c r="H38" s="15"/>
      <c r="I38" s="15"/>
      <c r="J38" s="13"/>
      <c r="K38" s="13"/>
      <c r="L38" s="16">
        <f t="shared" si="0"/>
        <v>0</v>
      </c>
    </row>
    <row r="39" spans="1:12" ht="15.95" customHeight="1" x14ac:dyDescent="0.2">
      <c r="B39" s="11"/>
      <c r="C39" s="12"/>
      <c r="D39" s="12"/>
      <c r="E39" s="13"/>
      <c r="F39" s="11"/>
      <c r="G39" s="13"/>
      <c r="H39" s="15"/>
      <c r="I39" s="15"/>
      <c r="J39" s="13"/>
      <c r="K39" s="13"/>
      <c r="L39" s="16">
        <f t="shared" si="0"/>
        <v>0</v>
      </c>
    </row>
    <row r="40" spans="1:12" ht="15.95" customHeight="1" x14ac:dyDescent="0.2">
      <c r="B40" s="11"/>
      <c r="C40" s="12"/>
      <c r="D40" s="12"/>
      <c r="E40" s="13"/>
      <c r="F40" s="11"/>
      <c r="G40" s="13"/>
      <c r="H40" s="15"/>
      <c r="I40" s="15"/>
      <c r="J40" s="13"/>
      <c r="K40" s="13"/>
      <c r="L40" s="16">
        <f t="shared" si="0"/>
        <v>0</v>
      </c>
    </row>
    <row r="41" spans="1:12" ht="15.95" customHeight="1" x14ac:dyDescent="0.2">
      <c r="B41" s="11"/>
      <c r="C41" s="12"/>
      <c r="D41" s="12"/>
      <c r="E41" s="13"/>
      <c r="F41" s="11"/>
      <c r="G41" s="13"/>
      <c r="H41" s="15"/>
      <c r="I41" s="15"/>
      <c r="J41" s="13"/>
      <c r="K41" s="13"/>
      <c r="L41" s="16">
        <f t="shared" si="0"/>
        <v>0</v>
      </c>
    </row>
    <row r="42" spans="1:12" ht="15.95" customHeight="1" x14ac:dyDescent="0.2">
      <c r="B42" s="11"/>
      <c r="C42" s="12"/>
      <c r="D42" s="12"/>
      <c r="E42" s="13"/>
      <c r="F42" s="11"/>
      <c r="G42" s="13"/>
      <c r="H42" s="15"/>
      <c r="I42" s="15"/>
      <c r="J42" s="13"/>
      <c r="K42" s="13"/>
      <c r="L42" s="16">
        <f t="shared" si="0"/>
        <v>0</v>
      </c>
    </row>
    <row r="43" spans="1:12" ht="15.95" customHeight="1" x14ac:dyDescent="0.2">
      <c r="B43" s="11"/>
      <c r="C43" s="12"/>
      <c r="D43" s="12"/>
      <c r="E43" s="13"/>
      <c r="F43" s="11"/>
      <c r="G43" s="13"/>
      <c r="H43" s="15"/>
      <c r="I43" s="15"/>
      <c r="J43" s="13"/>
      <c r="K43" s="13"/>
      <c r="L43" s="16">
        <f t="shared" si="0"/>
        <v>0</v>
      </c>
    </row>
    <row r="44" spans="1:12" ht="15.95" customHeight="1" x14ac:dyDescent="0.2">
      <c r="B44" s="11"/>
      <c r="C44" s="12"/>
      <c r="D44" s="12"/>
      <c r="E44" s="13"/>
      <c r="F44" s="11"/>
      <c r="G44" s="13"/>
      <c r="H44" s="15"/>
      <c r="I44" s="15"/>
      <c r="J44" s="13"/>
      <c r="K44" s="13"/>
      <c r="L44" s="16">
        <f t="shared" si="0"/>
        <v>0</v>
      </c>
    </row>
    <row r="45" spans="1:12" ht="15.95" customHeight="1" x14ac:dyDescent="0.2">
      <c r="B45" s="11"/>
      <c r="C45" s="12"/>
      <c r="D45" s="12"/>
      <c r="E45" s="13"/>
      <c r="F45" s="11"/>
      <c r="G45" s="13"/>
      <c r="H45" s="15"/>
      <c r="I45" s="15"/>
      <c r="J45" s="13"/>
      <c r="K45" s="13"/>
    </row>
    <row r="46" spans="1:12" ht="15.95" customHeight="1" x14ac:dyDescent="0.2">
      <c r="B46" s="11"/>
      <c r="C46" s="12"/>
      <c r="D46" s="12"/>
      <c r="E46" s="13"/>
      <c r="F46" s="11"/>
      <c r="G46" s="13"/>
      <c r="H46" s="15"/>
      <c r="I46" s="15"/>
      <c r="J46" s="13"/>
      <c r="K46" s="13"/>
    </row>
    <row r="47" spans="1:12" ht="15.95" customHeight="1" x14ac:dyDescent="0.2">
      <c r="B47" s="11"/>
      <c r="C47" s="12"/>
      <c r="D47" s="12"/>
      <c r="E47" s="13"/>
      <c r="F47" s="11"/>
      <c r="G47" s="14"/>
      <c r="H47" s="15"/>
      <c r="I47" s="13"/>
      <c r="J47" s="13"/>
      <c r="K47" s="13"/>
    </row>
    <row r="48" spans="1:12" ht="15.95" customHeight="1" x14ac:dyDescent="0.2">
      <c r="B48" s="11"/>
      <c r="C48" s="12"/>
      <c r="D48" s="12"/>
      <c r="E48" s="13"/>
      <c r="F48" s="11"/>
      <c r="G48" s="13"/>
      <c r="H48" s="15"/>
      <c r="I48" s="15"/>
      <c r="J48" s="13"/>
      <c r="K48" s="13"/>
    </row>
    <row r="49" spans="2:11" ht="15.95" customHeight="1" x14ac:dyDescent="0.2">
      <c r="B49" s="11"/>
      <c r="C49" s="12"/>
      <c r="D49" s="12"/>
      <c r="E49" s="13"/>
      <c r="F49" s="11"/>
      <c r="G49" s="13"/>
      <c r="H49" s="15"/>
      <c r="I49" s="15"/>
      <c r="J49" s="13"/>
      <c r="K49" s="13"/>
    </row>
    <row r="50" spans="2:11" ht="15.95" customHeight="1" x14ac:dyDescent="0.2">
      <c r="B50" s="11"/>
      <c r="C50" s="12"/>
      <c r="D50" s="12"/>
      <c r="E50" s="13"/>
      <c r="F50" s="11"/>
      <c r="G50" s="13"/>
      <c r="H50" s="15"/>
      <c r="I50" s="15"/>
      <c r="J50" s="13"/>
      <c r="K50" s="13"/>
    </row>
    <row r="51" spans="2:11" ht="15.95" customHeight="1" x14ac:dyDescent="0.2">
      <c r="B51" s="11"/>
      <c r="C51" s="12"/>
      <c r="D51" s="12"/>
      <c r="E51" s="13"/>
      <c r="F51" s="11"/>
      <c r="G51" s="13"/>
      <c r="H51" s="15"/>
      <c r="I51" s="15"/>
      <c r="J51" s="13"/>
      <c r="K51" s="13"/>
    </row>
    <row r="52" spans="2:11" ht="15.95" customHeight="1" x14ac:dyDescent="0.2">
      <c r="B52" s="11"/>
      <c r="C52" s="12"/>
      <c r="D52" s="12"/>
      <c r="E52" s="13"/>
      <c r="F52" s="11"/>
      <c r="G52" s="13"/>
      <c r="H52" s="15"/>
      <c r="I52" s="15"/>
      <c r="J52" s="13"/>
      <c r="K52" s="13"/>
    </row>
    <row r="53" spans="2:11" ht="15.95" customHeight="1" x14ac:dyDescent="0.2">
      <c r="B53" s="11"/>
      <c r="C53" s="12"/>
      <c r="D53" s="12"/>
      <c r="E53" s="13"/>
      <c r="F53" s="11"/>
      <c r="G53" s="13"/>
      <c r="H53" s="15"/>
      <c r="I53" s="15"/>
      <c r="J53" s="13"/>
      <c r="K53" s="13"/>
    </row>
    <row r="54" spans="2:11" ht="15.95" customHeight="1" x14ac:dyDescent="0.2">
      <c r="B54" s="11"/>
      <c r="C54" s="12"/>
      <c r="D54" s="12"/>
      <c r="E54" s="13"/>
      <c r="F54" s="11"/>
      <c r="G54" s="13"/>
      <c r="H54" s="15"/>
      <c r="I54" s="15"/>
      <c r="J54" s="13"/>
      <c r="K54" s="13"/>
    </row>
    <row r="55" spans="2:11" ht="15.95" customHeight="1" x14ac:dyDescent="0.2">
      <c r="B55" s="11"/>
      <c r="C55" s="12"/>
      <c r="D55" s="12"/>
      <c r="E55" s="13"/>
      <c r="F55" s="11"/>
      <c r="G55" s="13"/>
      <c r="H55" s="15"/>
      <c r="I55" s="15"/>
      <c r="J55" s="13"/>
      <c r="K55" s="13"/>
    </row>
    <row r="56" spans="2:11" ht="15.95" customHeight="1" x14ac:dyDescent="0.2">
      <c r="B56" s="11"/>
      <c r="C56" s="12"/>
      <c r="D56" s="12"/>
      <c r="E56" s="13"/>
      <c r="F56" s="11"/>
      <c r="G56" s="13"/>
      <c r="H56" s="15"/>
      <c r="I56" s="15"/>
      <c r="J56" s="13"/>
      <c r="K56" s="13"/>
    </row>
    <row r="57" spans="2:11" ht="15.95" customHeight="1" x14ac:dyDescent="0.2">
      <c r="B57" s="11"/>
      <c r="C57" s="12"/>
      <c r="D57" s="12"/>
      <c r="E57" s="13"/>
      <c r="F57" s="11"/>
      <c r="G57" s="14"/>
      <c r="H57" s="15"/>
      <c r="I57" s="13"/>
      <c r="J57" s="13"/>
      <c r="K57" s="13"/>
    </row>
    <row r="58" spans="2:11" ht="15.95" customHeight="1" x14ac:dyDescent="0.2">
      <c r="B58" s="11"/>
      <c r="C58" s="12"/>
      <c r="D58" s="12"/>
      <c r="E58" s="13"/>
      <c r="F58" s="11"/>
      <c r="G58" s="13"/>
      <c r="H58" s="15"/>
      <c r="I58" s="15"/>
      <c r="J58" s="13"/>
      <c r="K58" s="13"/>
    </row>
    <row r="59" spans="2:11" ht="15.95" customHeight="1" x14ac:dyDescent="0.2">
      <c r="B59" s="11"/>
      <c r="C59" s="12"/>
      <c r="D59" s="12"/>
      <c r="E59" s="13"/>
      <c r="F59" s="11"/>
      <c r="G59" s="13"/>
      <c r="H59" s="15"/>
      <c r="I59" s="15"/>
      <c r="J59" s="13"/>
      <c r="K59" s="13"/>
    </row>
    <row r="60" spans="2:11" ht="15.95" customHeight="1" x14ac:dyDescent="0.2">
      <c r="B60" s="11"/>
      <c r="C60" s="12"/>
      <c r="D60" s="12"/>
      <c r="E60" s="13"/>
      <c r="F60" s="11"/>
      <c r="G60" s="13"/>
      <c r="H60" s="15"/>
      <c r="I60" s="15"/>
      <c r="J60" s="13"/>
      <c r="K60" s="13"/>
    </row>
    <row r="61" spans="2:11" ht="15.95" customHeight="1" x14ac:dyDescent="0.2">
      <c r="B61" s="11"/>
      <c r="C61" s="12"/>
      <c r="D61" s="12"/>
      <c r="E61" s="13"/>
      <c r="F61" s="11"/>
      <c r="G61" s="13"/>
      <c r="H61" s="15"/>
      <c r="I61" s="15"/>
      <c r="J61" s="13"/>
      <c r="K61" s="13"/>
    </row>
    <row r="62" spans="2:11" ht="15.95" customHeight="1" x14ac:dyDescent="0.2">
      <c r="B62" s="11"/>
      <c r="C62" s="12"/>
      <c r="D62" s="12"/>
      <c r="E62" s="13"/>
      <c r="F62" s="11"/>
      <c r="G62" s="13"/>
      <c r="H62" s="15"/>
      <c r="I62" s="15"/>
      <c r="J62" s="13"/>
      <c r="K62" s="13"/>
    </row>
    <row r="63" spans="2:11" ht="15.95" customHeight="1" x14ac:dyDescent="0.2">
      <c r="B63" s="11"/>
      <c r="C63" s="12"/>
      <c r="D63" s="12"/>
      <c r="E63" s="13"/>
      <c r="F63" s="11"/>
      <c r="G63" s="13"/>
      <c r="H63" s="15"/>
      <c r="I63" s="15"/>
      <c r="J63" s="13"/>
      <c r="K63" s="13"/>
    </row>
    <row r="64" spans="2:11" ht="15.95" customHeight="1" x14ac:dyDescent="0.2">
      <c r="B64" s="11"/>
      <c r="C64" s="12"/>
      <c r="D64" s="12"/>
      <c r="E64" s="13"/>
      <c r="F64" s="11"/>
      <c r="G64" s="13"/>
      <c r="H64" s="15"/>
      <c r="I64" s="15"/>
      <c r="J64" s="13"/>
      <c r="K64" s="13"/>
    </row>
    <row r="65" spans="2:11" ht="15.95" customHeight="1" x14ac:dyDescent="0.2">
      <c r="B65" s="11"/>
      <c r="C65" s="12"/>
      <c r="D65" s="12"/>
      <c r="E65" s="13"/>
      <c r="F65" s="11"/>
      <c r="G65" s="13"/>
      <c r="H65" s="15"/>
      <c r="I65" s="15"/>
      <c r="J65" s="13"/>
      <c r="K65" s="13"/>
    </row>
    <row r="66" spans="2:11" ht="15.95" customHeight="1" x14ac:dyDescent="0.2">
      <c r="B66" s="11"/>
      <c r="C66" s="12"/>
      <c r="D66" s="12"/>
      <c r="E66" s="13"/>
      <c r="F66" s="11"/>
      <c r="G66" s="13"/>
      <c r="H66" s="15"/>
      <c r="I66" s="15"/>
      <c r="J66" s="13"/>
      <c r="K66" s="13"/>
    </row>
    <row r="67" spans="2:11" ht="15.95" customHeight="1" x14ac:dyDescent="0.2">
      <c r="B67" s="11"/>
      <c r="C67" s="12"/>
      <c r="D67" s="12"/>
      <c r="E67" s="13"/>
      <c r="F67" s="11"/>
      <c r="G67" s="14"/>
      <c r="H67" s="15"/>
      <c r="I67" s="13"/>
      <c r="J67" s="13"/>
      <c r="K67" s="14"/>
    </row>
    <row r="68" spans="2:11" ht="15.95" customHeight="1" x14ac:dyDescent="0.2">
      <c r="B68" s="11"/>
      <c r="C68" s="12"/>
      <c r="D68" s="12"/>
      <c r="E68" s="13"/>
      <c r="F68" s="11"/>
      <c r="G68" s="13"/>
      <c r="H68" s="15"/>
      <c r="I68" s="15"/>
      <c r="J68" s="13"/>
      <c r="K68" s="13"/>
    </row>
    <row r="69" spans="2:11" ht="15.95" customHeight="1" x14ac:dyDescent="0.2">
      <c r="B69" s="11"/>
      <c r="C69" s="12"/>
      <c r="D69" s="12"/>
      <c r="E69" s="13"/>
      <c r="F69" s="11"/>
      <c r="G69" s="13"/>
      <c r="H69" s="15"/>
      <c r="I69" s="15"/>
      <c r="J69" s="13"/>
      <c r="K69" s="13"/>
    </row>
    <row r="70" spans="2:11" ht="15.95" customHeight="1" x14ac:dyDescent="0.2">
      <c r="B70" s="11"/>
      <c r="C70" s="12"/>
      <c r="D70" s="12"/>
      <c r="E70" s="13"/>
      <c r="F70" s="11"/>
      <c r="G70" s="13"/>
      <c r="H70" s="15"/>
      <c r="I70" s="15"/>
      <c r="J70" s="13"/>
      <c r="K70" s="13"/>
    </row>
    <row r="71" spans="2:11" ht="15.95" customHeight="1" x14ac:dyDescent="0.2">
      <c r="B71" s="11"/>
      <c r="C71" s="12"/>
      <c r="D71" s="12"/>
      <c r="E71" s="13"/>
      <c r="F71" s="11"/>
      <c r="G71" s="14"/>
      <c r="H71" s="15"/>
      <c r="I71" s="13"/>
      <c r="J71" s="13"/>
      <c r="K71" s="13"/>
    </row>
    <row r="72" spans="2:11" ht="15.95" customHeight="1" x14ac:dyDescent="0.2">
      <c r="B72" s="11"/>
      <c r="C72" s="12"/>
      <c r="D72" s="12"/>
      <c r="E72" s="13"/>
      <c r="F72" s="11"/>
      <c r="G72" s="13"/>
      <c r="H72" s="15"/>
      <c r="I72" s="15"/>
      <c r="J72" s="13"/>
      <c r="K72" s="13"/>
    </row>
    <row r="73" spans="2:11" ht="15.95" customHeight="1" x14ac:dyDescent="0.2">
      <c r="B73" s="11"/>
      <c r="C73" s="12"/>
      <c r="D73" s="12"/>
      <c r="E73" s="13"/>
      <c r="F73" s="11"/>
      <c r="G73" s="13"/>
      <c r="H73" s="15"/>
      <c r="I73" s="15"/>
      <c r="J73" s="13"/>
      <c r="K73" s="13"/>
    </row>
    <row r="74" spans="2:11" ht="15.95" customHeight="1" x14ac:dyDescent="0.2">
      <c r="B74" s="11"/>
      <c r="C74" s="12"/>
      <c r="D74" s="12"/>
      <c r="E74" s="13"/>
      <c r="F74" s="11"/>
      <c r="G74" s="13"/>
      <c r="H74" s="15"/>
      <c r="I74" s="15"/>
      <c r="J74" s="13"/>
      <c r="K74" s="13"/>
    </row>
    <row r="75" spans="2:11" ht="15.95" customHeight="1" x14ac:dyDescent="0.2">
      <c r="B75" s="11"/>
      <c r="C75" s="12"/>
      <c r="D75" s="12"/>
      <c r="E75" s="13"/>
      <c r="F75" s="11"/>
      <c r="G75" s="13"/>
      <c r="H75" s="15"/>
      <c r="I75" s="15"/>
      <c r="J75" s="13"/>
      <c r="K75" s="13"/>
    </row>
    <row r="76" spans="2:11" ht="15.95" customHeight="1" x14ac:dyDescent="0.2">
      <c r="B76" s="11"/>
      <c r="C76" s="12"/>
      <c r="D76" s="12"/>
      <c r="E76" s="13"/>
      <c r="F76" s="11"/>
      <c r="G76" s="13"/>
      <c r="H76" s="15"/>
      <c r="I76" s="15"/>
      <c r="J76" s="13"/>
      <c r="K76" s="13"/>
    </row>
    <row r="77" spans="2:11" ht="15.95" customHeight="1" x14ac:dyDescent="0.2">
      <c r="B77" s="11"/>
      <c r="C77" s="12"/>
      <c r="D77" s="12"/>
      <c r="E77" s="13"/>
      <c r="F77" s="11"/>
      <c r="G77" s="14"/>
      <c r="H77" s="15"/>
      <c r="I77" s="13"/>
      <c r="J77" s="13"/>
      <c r="K77" s="13"/>
    </row>
    <row r="78" spans="2:11" ht="15.95" customHeight="1" x14ac:dyDescent="0.2">
      <c r="B78" s="11"/>
      <c r="C78" s="12"/>
      <c r="D78" s="12"/>
      <c r="E78" s="13"/>
      <c r="F78" s="11"/>
      <c r="G78" s="13"/>
      <c r="H78" s="15"/>
      <c r="I78" s="15"/>
      <c r="J78" s="13"/>
      <c r="K78" s="13"/>
    </row>
    <row r="79" spans="2:11" ht="15.95" customHeight="1" x14ac:dyDescent="0.2">
      <c r="B79" s="11"/>
      <c r="C79" s="12"/>
      <c r="D79" s="12"/>
      <c r="E79" s="13"/>
      <c r="F79" s="11"/>
      <c r="G79" s="14"/>
      <c r="H79" s="15"/>
      <c r="I79" s="13"/>
      <c r="J79" s="13"/>
      <c r="K79" s="13"/>
    </row>
    <row r="80" spans="2:11" ht="15.95" customHeight="1" x14ac:dyDescent="0.2">
      <c r="B80" s="11"/>
      <c r="C80" s="12"/>
      <c r="D80" s="12"/>
      <c r="E80" s="13"/>
      <c r="F80" s="11"/>
      <c r="G80" s="13"/>
      <c r="H80" s="15"/>
      <c r="I80" s="15"/>
      <c r="J80" s="13"/>
      <c r="K80" s="13"/>
    </row>
    <row r="81" spans="2:11" ht="15.95" customHeight="1" x14ac:dyDescent="0.2">
      <c r="B81" s="11"/>
      <c r="C81" s="12"/>
      <c r="D81" s="12"/>
      <c r="E81" s="13"/>
      <c r="F81" s="11"/>
      <c r="G81" s="13"/>
      <c r="H81" s="15"/>
      <c r="I81" s="15"/>
      <c r="J81" s="13"/>
      <c r="K81" s="13"/>
    </row>
    <row r="82" spans="2:11" ht="15.95" customHeight="1" x14ac:dyDescent="0.2">
      <c r="B82" s="11"/>
      <c r="C82" s="12"/>
      <c r="D82" s="12"/>
      <c r="E82" s="13"/>
      <c r="F82" s="11"/>
      <c r="G82" s="14"/>
      <c r="H82" s="15"/>
      <c r="I82" s="13"/>
      <c r="J82" s="13"/>
      <c r="K82" s="13"/>
    </row>
    <row r="83" spans="2:11" ht="15.95" customHeight="1" x14ac:dyDescent="0.2">
      <c r="B83" s="11"/>
      <c r="C83" s="12"/>
      <c r="D83" s="12"/>
      <c r="E83" s="13"/>
      <c r="F83" s="11"/>
      <c r="G83" s="14"/>
      <c r="H83" s="15"/>
      <c r="I83" s="13"/>
      <c r="J83" s="13"/>
      <c r="K83" s="13"/>
    </row>
    <row r="84" spans="2:11" ht="15.95" customHeight="1" x14ac:dyDescent="0.2">
      <c r="B84" s="11"/>
      <c r="C84" s="12"/>
      <c r="D84" s="12"/>
      <c r="E84" s="13"/>
      <c r="F84" s="11"/>
      <c r="G84" s="13"/>
      <c r="H84" s="15"/>
      <c r="I84" s="15"/>
      <c r="J84" s="13"/>
      <c r="K84" s="13"/>
    </row>
  </sheetData>
  <autoFilter ref="A4:K128" xr:uid="{00000000-0009-0000-0000-000001000000}"/>
  <sortState xmlns:xlrd2="http://schemas.microsoft.com/office/spreadsheetml/2017/richdata2" ref="A5:K36">
    <sortCondition ref="C5:C36"/>
  </sortState>
  <hyperlinks>
    <hyperlink ref="B2" r:id="rId1" display="https://jira-sd.csiro.au/issues/?jql=project+%3D+11200+AND+createdDate+%3E%3D+startOfMonth%28-1%29+AND+createdDate+%3C%3D+endOfMonth%28-1%29+AND+fixVersion+is+EMPTY" xr:uid="{00000000-0004-0000-0100-000000000000}"/>
  </hyperlinks>
  <printOptions horizontalCentered="1" verticalCentered="1"/>
  <pageMargins left="0.25" right="0.25" top="0.25" bottom="0.5" header="0.5" footer="0.25"/>
  <pageSetup orientation="landscape" verticalDpi="0" r:id="rId2"/>
  <headerFooter>
    <oddFooter>&amp;R&amp;P of &amp;N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9"/>
  <sheetViews>
    <sheetView workbookViewId="0">
      <selection activeCell="A16" sqref="A16"/>
    </sheetView>
  </sheetViews>
  <sheetFormatPr defaultColWidth="9.140625" defaultRowHeight="15.95" customHeight="1" x14ac:dyDescent="0.2"/>
  <cols>
    <col min="1" max="1" width="32.5703125" style="16" customWidth="1"/>
    <col min="2" max="2" width="15.5703125" style="16" customWidth="1"/>
    <col min="3" max="4" width="9.140625" style="16"/>
    <col min="5" max="5" width="69.42578125" style="16" customWidth="1"/>
    <col min="6" max="6" width="11.7109375" style="16" bestFit="1" customWidth="1"/>
    <col min="7" max="7" width="12.28515625" style="16" bestFit="1" customWidth="1"/>
    <col min="8" max="9" width="17.28515625" style="16" bestFit="1" customWidth="1"/>
    <col min="10" max="10" width="20.85546875" style="16" customWidth="1"/>
    <col min="11" max="11" width="15.5703125" style="16" customWidth="1"/>
    <col min="12" max="12" width="19.28515625" style="24" customWidth="1"/>
    <col min="13" max="16384" width="9.140625" style="16"/>
  </cols>
  <sheetData>
    <row r="1" spans="1:12" ht="15.95" customHeight="1" x14ac:dyDescent="0.2">
      <c r="B1" s="1"/>
      <c r="C1" s="2"/>
      <c r="D1" s="2"/>
      <c r="E1" s="2"/>
      <c r="F1" s="2"/>
      <c r="G1" s="2"/>
      <c r="H1" s="2"/>
      <c r="I1" s="2"/>
      <c r="J1" s="2"/>
      <c r="K1" s="2"/>
    </row>
    <row r="2" spans="1:12" ht="15.95" customHeight="1" x14ac:dyDescent="0.2">
      <c r="B2" s="4" t="s">
        <v>0</v>
      </c>
      <c r="C2" s="5"/>
      <c r="D2" s="5"/>
      <c r="E2" s="5"/>
      <c r="F2" s="5"/>
      <c r="G2" s="5"/>
      <c r="H2" s="5"/>
      <c r="I2" s="6"/>
      <c r="J2" s="5"/>
      <c r="K2" s="5"/>
    </row>
    <row r="3" spans="1:12" ht="15.95" customHeight="1" x14ac:dyDescent="0.2">
      <c r="B3" s="7"/>
      <c r="C3" s="8"/>
      <c r="D3" s="8"/>
      <c r="E3" s="8"/>
      <c r="F3" s="8"/>
      <c r="G3" s="8"/>
      <c r="H3" s="8"/>
      <c r="I3" s="9"/>
      <c r="J3" s="8"/>
      <c r="K3" s="8"/>
    </row>
    <row r="4" spans="1:12" ht="15.95" customHeight="1" x14ac:dyDescent="0.2">
      <c r="A4" s="17" t="s">
        <v>13</v>
      </c>
      <c r="B4" s="10" t="s">
        <v>1</v>
      </c>
      <c r="C4" s="10" t="s">
        <v>2</v>
      </c>
      <c r="D4" s="10" t="s">
        <v>28</v>
      </c>
      <c r="E4" s="10" t="s">
        <v>3</v>
      </c>
      <c r="F4" s="10" t="s">
        <v>6</v>
      </c>
      <c r="G4" s="10" t="s">
        <v>7</v>
      </c>
      <c r="H4" s="10" t="s">
        <v>8</v>
      </c>
      <c r="I4" s="10" t="s">
        <v>9</v>
      </c>
      <c r="J4" s="10" t="s">
        <v>5</v>
      </c>
      <c r="K4" s="10" t="s">
        <v>4</v>
      </c>
    </row>
    <row r="5" spans="1:12" ht="15.95" customHeight="1" x14ac:dyDescent="0.2">
      <c r="A5" s="16" t="str">
        <f>L5</f>
        <v>Project Leader Delegation Check</v>
      </c>
      <c r="B5" s="11" t="s">
        <v>10</v>
      </c>
      <c r="C5" s="12" t="s">
        <v>36</v>
      </c>
      <c r="D5" s="12">
        <v>1225028</v>
      </c>
      <c r="E5" s="13" t="s">
        <v>37</v>
      </c>
      <c r="F5" s="11" t="s">
        <v>11</v>
      </c>
      <c r="G5" s="13" t="s">
        <v>12</v>
      </c>
      <c r="H5" s="15">
        <v>43916.334722222222</v>
      </c>
      <c r="I5" s="15">
        <v>43916.4</v>
      </c>
      <c r="J5" s="13" t="s">
        <v>38</v>
      </c>
      <c r="K5" s="13" t="s">
        <v>33</v>
      </c>
      <c r="L5" s="24" t="str">
        <f>VLOOKUP(C5,Created!$C$5:$L$43,10,0)</f>
        <v>Project Leader Delegation Check</v>
      </c>
    </row>
    <row r="6" spans="1:12" ht="15.95" customHeight="1" x14ac:dyDescent="0.2">
      <c r="A6" s="16" t="str">
        <f>L6</f>
        <v>Close Project</v>
      </c>
      <c r="B6" s="11" t="s">
        <v>10</v>
      </c>
      <c r="C6" s="12" t="s">
        <v>39</v>
      </c>
      <c r="D6" s="12">
        <v>1220534</v>
      </c>
      <c r="E6" s="13" t="s">
        <v>40</v>
      </c>
      <c r="F6" s="11" t="s">
        <v>11</v>
      </c>
      <c r="G6" s="14" t="s">
        <v>12</v>
      </c>
      <c r="H6" s="15">
        <v>43913.674305555556</v>
      </c>
      <c r="I6" s="15">
        <v>43915.615972222222</v>
      </c>
      <c r="J6" s="13" t="s">
        <v>41</v>
      </c>
      <c r="K6" s="13" t="s">
        <v>33</v>
      </c>
      <c r="L6" s="24" t="str">
        <f>VLOOKUP(C6,Created!$C$5:$L$43,10,0)</f>
        <v>Close Project</v>
      </c>
    </row>
    <row r="7" spans="1:12" ht="15.95" customHeight="1" x14ac:dyDescent="0.2">
      <c r="A7" s="16" t="str">
        <f t="shared" ref="A7:A8" si="0">L7</f>
        <v>General</v>
      </c>
      <c r="B7" s="11" t="s">
        <v>10</v>
      </c>
      <c r="C7" s="12" t="s">
        <v>42</v>
      </c>
      <c r="D7" s="12">
        <v>1215945</v>
      </c>
      <c r="E7" s="13" t="s">
        <v>43</v>
      </c>
      <c r="F7" s="11" t="s">
        <v>11</v>
      </c>
      <c r="G7" s="14" t="s">
        <v>12</v>
      </c>
      <c r="H7" s="15">
        <v>43910.557638888888</v>
      </c>
      <c r="I7" s="15">
        <v>43913.425694444442</v>
      </c>
      <c r="J7" s="13" t="s">
        <v>44</v>
      </c>
      <c r="K7" s="13" t="s">
        <v>33</v>
      </c>
      <c r="L7" s="24" t="str">
        <f>VLOOKUP(C7,Created!$C$5:$L$43,10,0)</f>
        <v>General</v>
      </c>
    </row>
    <row r="8" spans="1:12" ht="15.95" customHeight="1" x14ac:dyDescent="0.2">
      <c r="A8" s="16" t="str">
        <f t="shared" si="0"/>
        <v>Close Project</v>
      </c>
      <c r="B8" s="11" t="s">
        <v>10</v>
      </c>
      <c r="C8" s="12" t="s">
        <v>45</v>
      </c>
      <c r="D8" s="12">
        <v>1213754</v>
      </c>
      <c r="E8" s="13" t="s">
        <v>46</v>
      </c>
      <c r="F8" s="11" t="s">
        <v>11</v>
      </c>
      <c r="G8" s="14" t="s">
        <v>12</v>
      </c>
      <c r="H8" s="15">
        <v>43909.355555555558</v>
      </c>
      <c r="I8" s="15">
        <v>43909.438194444447</v>
      </c>
      <c r="J8" s="13" t="s">
        <v>47</v>
      </c>
      <c r="K8" s="13" t="s">
        <v>33</v>
      </c>
      <c r="L8" s="24" t="str">
        <f>VLOOKUP(C8,Created!$C$5:$L$43,10,0)</f>
        <v>Close Project</v>
      </c>
    </row>
    <row r="9" spans="1:12" ht="15.95" customHeight="1" x14ac:dyDescent="0.2">
      <c r="A9" s="16" t="str">
        <f>L9</f>
        <v>Project Leader Change</v>
      </c>
      <c r="B9" s="11" t="s">
        <v>10</v>
      </c>
      <c r="C9" s="12" t="s">
        <v>48</v>
      </c>
      <c r="D9" s="12">
        <v>1208869</v>
      </c>
      <c r="E9" s="13" t="s">
        <v>49</v>
      </c>
      <c r="F9" s="11" t="s">
        <v>11</v>
      </c>
      <c r="G9" s="13" t="s">
        <v>12</v>
      </c>
      <c r="H9" s="15">
        <v>43906.644444444442</v>
      </c>
      <c r="I9" s="15">
        <v>43906.676388888889</v>
      </c>
      <c r="J9" s="13" t="s">
        <v>50</v>
      </c>
      <c r="K9" s="13" t="s">
        <v>33</v>
      </c>
      <c r="L9" s="24" t="str">
        <f>VLOOKUP(C9,Created!$C$5:$L$43,10,0)</f>
        <v>Project Leader Change</v>
      </c>
    </row>
    <row r="10" spans="1:12" ht="15.95" customHeight="1" x14ac:dyDescent="0.2">
      <c r="A10" s="16" t="str">
        <f>L10</f>
        <v>Project Leader Delegation Check</v>
      </c>
      <c r="B10" s="11" t="s">
        <v>10</v>
      </c>
      <c r="C10" s="12" t="s">
        <v>51</v>
      </c>
      <c r="D10" s="12">
        <v>1201541</v>
      </c>
      <c r="E10" s="13" t="s">
        <v>52</v>
      </c>
      <c r="F10" s="11" t="s">
        <v>11</v>
      </c>
      <c r="G10" s="13" t="s">
        <v>12</v>
      </c>
      <c r="H10" s="15">
        <v>43902.511805555558</v>
      </c>
      <c r="I10" s="15">
        <v>43902.522222222222</v>
      </c>
      <c r="J10" s="13" t="s">
        <v>41</v>
      </c>
      <c r="K10" s="13" t="s">
        <v>33</v>
      </c>
      <c r="L10" s="24" t="str">
        <f>VLOOKUP(C10,Created!$C$5:$L$43,10,0)</f>
        <v>Project Leader Delegation Check</v>
      </c>
    </row>
    <row r="11" spans="1:12" ht="15.95" customHeight="1" x14ac:dyDescent="0.2">
      <c r="A11" s="16" t="str">
        <f t="shared" ref="A11" si="1">L11</f>
        <v>Close Project</v>
      </c>
      <c r="B11" s="11" t="s">
        <v>10</v>
      </c>
      <c r="C11" s="12" t="s">
        <v>53</v>
      </c>
      <c r="D11" s="12">
        <v>1201469</v>
      </c>
      <c r="E11" s="13" t="s">
        <v>54</v>
      </c>
      <c r="F11" s="11" t="s">
        <v>11</v>
      </c>
      <c r="G11" s="13" t="s">
        <v>12</v>
      </c>
      <c r="H11" s="15">
        <v>43902.484722222223</v>
      </c>
      <c r="I11" s="15">
        <v>43902.512499999997</v>
      </c>
      <c r="J11" s="13" t="s">
        <v>35</v>
      </c>
      <c r="K11" s="13" t="s">
        <v>33</v>
      </c>
      <c r="L11" s="24" t="str">
        <f>VLOOKUP(C11,Created!$C$5:$L$43,10,0)</f>
        <v>Close Project</v>
      </c>
    </row>
    <row r="12" spans="1:12" ht="15.95" customHeight="1" x14ac:dyDescent="0.2">
      <c r="A12" s="16" t="str">
        <f>L12</f>
        <v>Partners Change</v>
      </c>
      <c r="B12" s="11" t="s">
        <v>10</v>
      </c>
      <c r="C12" s="12" t="s">
        <v>55</v>
      </c>
      <c r="D12" s="12">
        <v>1201441</v>
      </c>
      <c r="E12" s="13" t="s">
        <v>56</v>
      </c>
      <c r="F12" s="11" t="s">
        <v>11</v>
      </c>
      <c r="G12" s="13" t="s">
        <v>12</v>
      </c>
      <c r="H12" s="15">
        <v>43902.473611111112</v>
      </c>
      <c r="I12" s="15">
        <v>43902.525000000001</v>
      </c>
      <c r="J12" s="13" t="s">
        <v>57</v>
      </c>
      <c r="K12" s="13" t="s">
        <v>33</v>
      </c>
      <c r="L12" s="24" t="str">
        <f>VLOOKUP(C12,Created!$C$5:$L$43,10,0)</f>
        <v>Partners Change</v>
      </c>
    </row>
    <row r="13" spans="1:12" ht="15.95" customHeight="1" x14ac:dyDescent="0.2">
      <c r="A13" s="16" t="str">
        <f>L13</f>
        <v>Revenue Recognition Change</v>
      </c>
      <c r="B13" s="11" t="s">
        <v>10</v>
      </c>
      <c r="C13" s="12" t="s">
        <v>58</v>
      </c>
      <c r="D13" s="12">
        <v>1188731</v>
      </c>
      <c r="E13" s="13" t="s">
        <v>59</v>
      </c>
      <c r="F13" s="11" t="s">
        <v>11</v>
      </c>
      <c r="G13" s="14" t="s">
        <v>12</v>
      </c>
      <c r="H13" s="15">
        <v>43896.402777777781</v>
      </c>
      <c r="I13" s="15">
        <v>43900.542361111111</v>
      </c>
      <c r="J13" s="13" t="s">
        <v>60</v>
      </c>
      <c r="K13" s="13" t="s">
        <v>33</v>
      </c>
      <c r="L13" s="24" t="str">
        <f>VLOOKUP(C13,Created!$C$5:$L$43,10,0)</f>
        <v>Revenue Recognition Change</v>
      </c>
    </row>
    <row r="14" spans="1:12" ht="15.95" customHeight="1" x14ac:dyDescent="0.2">
      <c r="A14" s="16" t="str">
        <f t="shared" ref="A14" si="2">L14</f>
        <v>Revenue Recognition Change</v>
      </c>
      <c r="B14" s="11" t="s">
        <v>10</v>
      </c>
      <c r="C14" s="12" t="s">
        <v>61</v>
      </c>
      <c r="D14" s="12">
        <v>1186381</v>
      </c>
      <c r="E14" s="13" t="s">
        <v>62</v>
      </c>
      <c r="F14" s="11" t="s">
        <v>11</v>
      </c>
      <c r="G14" s="13" t="s">
        <v>12</v>
      </c>
      <c r="H14" s="15">
        <v>43895.385416666664</v>
      </c>
      <c r="I14" s="15">
        <v>43896.493750000001</v>
      </c>
      <c r="J14" s="13" t="s">
        <v>50</v>
      </c>
      <c r="K14" s="13" t="s">
        <v>33</v>
      </c>
      <c r="L14" s="24" t="str">
        <f>VLOOKUP(C14,Created!$C$5:$L$43,10,0)</f>
        <v>Revenue Recognition Change</v>
      </c>
    </row>
    <row r="15" spans="1:12" ht="15.95" customHeight="1" x14ac:dyDescent="0.2">
      <c r="A15" s="16" t="s">
        <v>34</v>
      </c>
      <c r="B15" s="11" t="s">
        <v>10</v>
      </c>
      <c r="C15" s="12" t="s">
        <v>63</v>
      </c>
      <c r="D15" s="12">
        <v>1173845</v>
      </c>
      <c r="E15" s="13" t="s">
        <v>64</v>
      </c>
      <c r="F15" s="11" t="s">
        <v>11</v>
      </c>
      <c r="G15" s="13" t="s">
        <v>12</v>
      </c>
      <c r="H15" s="15">
        <v>43889.542361111111</v>
      </c>
      <c r="I15" s="15">
        <v>43893.709027777775</v>
      </c>
      <c r="J15" s="13" t="s">
        <v>65</v>
      </c>
      <c r="K15" s="13" t="s">
        <v>33</v>
      </c>
      <c r="L15" s="24" t="e">
        <f>VLOOKUP(C15,Created!$C$5:$L$43,10,0)</f>
        <v>#N/A</v>
      </c>
    </row>
    <row r="16" spans="1:12" ht="15.95" customHeight="1" x14ac:dyDescent="0.2">
      <c r="B16" s="11"/>
      <c r="C16" s="12"/>
      <c r="D16" s="12"/>
      <c r="E16" s="13"/>
      <c r="F16" s="11"/>
      <c r="G16" s="13"/>
      <c r="H16" s="15"/>
      <c r="I16" s="15"/>
      <c r="J16" s="13"/>
      <c r="K16" s="13"/>
      <c r="L16" s="24" t="e">
        <f>VLOOKUP(C16,Created!$C$5:$L$43,10,0)</f>
        <v>#N/A</v>
      </c>
    </row>
    <row r="17" spans="2:13" ht="15.95" customHeight="1" x14ac:dyDescent="0.2">
      <c r="B17" s="11"/>
      <c r="C17" s="12"/>
      <c r="D17" s="12"/>
      <c r="E17" s="13"/>
      <c r="F17" s="11"/>
      <c r="G17" s="13"/>
      <c r="H17" s="15"/>
      <c r="I17" s="15"/>
      <c r="J17" s="13"/>
      <c r="K17" s="13"/>
      <c r="L17" s="24" t="e">
        <f>VLOOKUP(C17,Created!$C$5:$L$43,10,0)</f>
        <v>#N/A</v>
      </c>
    </row>
    <row r="18" spans="2:13" ht="15.95" customHeight="1" x14ac:dyDescent="0.2">
      <c r="B18" s="11"/>
      <c r="C18" s="12"/>
      <c r="D18" s="12"/>
      <c r="E18" s="13"/>
      <c r="F18" s="11"/>
      <c r="G18" s="13"/>
      <c r="H18" s="15"/>
      <c r="I18" s="15"/>
      <c r="J18" s="13"/>
      <c r="K18" s="13"/>
      <c r="L18" s="24" t="e">
        <f>VLOOKUP(C18,Created!$C$5:$L$43,10,0)</f>
        <v>#N/A</v>
      </c>
    </row>
    <row r="19" spans="2:13" ht="15.95" customHeight="1" x14ac:dyDescent="0.2">
      <c r="B19" s="11"/>
      <c r="C19" s="12"/>
      <c r="D19" s="12"/>
      <c r="E19" s="13"/>
      <c r="F19" s="11"/>
      <c r="G19" s="13"/>
      <c r="H19" s="15"/>
      <c r="I19" s="15"/>
      <c r="J19" s="13"/>
      <c r="K19" s="13"/>
      <c r="L19" s="24" t="e">
        <f>VLOOKUP(C19,Created!$C$5:$L$43,10,0)</f>
        <v>#N/A</v>
      </c>
    </row>
    <row r="20" spans="2:13" ht="15.95" customHeight="1" x14ac:dyDescent="0.2">
      <c r="B20" s="11"/>
      <c r="C20" s="12"/>
      <c r="D20" s="12"/>
      <c r="E20" s="13"/>
      <c r="F20" s="11"/>
      <c r="G20" s="13"/>
      <c r="H20" s="15"/>
      <c r="I20" s="15"/>
      <c r="J20" s="13"/>
      <c r="K20" s="13"/>
      <c r="L20" s="24" t="e">
        <f>VLOOKUP(C20,Created!$C$5:$L$43,10,0)</f>
        <v>#N/A</v>
      </c>
    </row>
    <row r="21" spans="2:13" ht="15.95" customHeight="1" x14ac:dyDescent="0.2">
      <c r="B21" s="11"/>
      <c r="C21" s="12"/>
      <c r="D21" s="12"/>
      <c r="E21" s="13"/>
      <c r="F21" s="11"/>
      <c r="G21" s="13"/>
      <c r="H21" s="15"/>
      <c r="I21" s="15"/>
      <c r="J21" s="13"/>
      <c r="K21" s="13"/>
      <c r="L21" s="24" t="e">
        <f>VLOOKUP(C21,Created!$C$5:$L$43,10,0)</f>
        <v>#N/A</v>
      </c>
    </row>
    <row r="22" spans="2:13" ht="15.95" customHeight="1" x14ac:dyDescent="0.2">
      <c r="B22" s="11"/>
      <c r="C22" s="12"/>
      <c r="D22" s="12"/>
      <c r="E22" s="13"/>
      <c r="F22" s="11"/>
      <c r="G22" s="13"/>
      <c r="H22" s="15"/>
      <c r="I22" s="15"/>
      <c r="J22" s="13"/>
      <c r="K22" s="13"/>
      <c r="L22" s="24" t="e">
        <f>VLOOKUP(C22,Created!$C$5:$L$43,10,0)</f>
        <v>#N/A</v>
      </c>
    </row>
    <row r="23" spans="2:13" ht="15.95" customHeight="1" x14ac:dyDescent="0.2">
      <c r="B23" s="11"/>
      <c r="C23" s="12"/>
      <c r="D23" s="12"/>
      <c r="E23" s="13"/>
      <c r="F23" s="11"/>
      <c r="G23" s="13"/>
      <c r="H23" s="15"/>
      <c r="I23" s="15"/>
      <c r="J23" s="13"/>
      <c r="K23" s="13"/>
      <c r="L23" s="24" t="e">
        <f>VLOOKUP(C23,Created!$C$5:$L$43,10,0)</f>
        <v>#N/A</v>
      </c>
    </row>
    <row r="24" spans="2:13" ht="15.95" customHeight="1" x14ac:dyDescent="0.2">
      <c r="B24" s="11"/>
      <c r="C24" s="12"/>
      <c r="D24" s="12"/>
      <c r="E24" s="13"/>
      <c r="F24" s="11"/>
      <c r="G24" s="13"/>
      <c r="H24" s="15"/>
      <c r="I24" s="15"/>
      <c r="J24" s="13"/>
      <c r="K24" s="13"/>
      <c r="L24" s="24" t="e">
        <f>VLOOKUP(C24,Created!$C$5:$L$43,10,0)</f>
        <v>#N/A</v>
      </c>
      <c r="M24" s="25"/>
    </row>
    <row r="25" spans="2:13" ht="15.95" customHeight="1" x14ac:dyDescent="0.2">
      <c r="B25" s="11"/>
      <c r="C25" s="12"/>
      <c r="D25" s="12"/>
      <c r="E25" s="13"/>
      <c r="F25" s="11"/>
      <c r="G25" s="13"/>
      <c r="H25" s="15"/>
      <c r="I25" s="15"/>
      <c r="J25" s="13"/>
      <c r="K25" s="13"/>
      <c r="L25" s="24" t="e">
        <f>VLOOKUP(C25,Created!$C$5:$L$43,10,0)</f>
        <v>#N/A</v>
      </c>
      <c r="M25" s="25"/>
    </row>
    <row r="26" spans="2:13" ht="15.95" customHeight="1" x14ac:dyDescent="0.2">
      <c r="B26" s="11"/>
      <c r="C26" s="12"/>
      <c r="D26" s="12"/>
      <c r="E26" s="13"/>
      <c r="F26" s="11"/>
      <c r="G26" s="13"/>
      <c r="H26" s="15"/>
      <c r="I26" s="15"/>
      <c r="J26" s="13"/>
      <c r="K26" s="13"/>
      <c r="L26" s="24" t="e">
        <f>VLOOKUP(C26,Created!$C$5:$L$43,10,0)</f>
        <v>#N/A</v>
      </c>
      <c r="M26" s="25"/>
    </row>
    <row r="27" spans="2:13" ht="15.95" customHeight="1" x14ac:dyDescent="0.2">
      <c r="B27" s="11"/>
      <c r="C27" s="12"/>
      <c r="D27" s="12"/>
      <c r="E27" s="13"/>
      <c r="F27" s="11"/>
      <c r="G27" s="13"/>
      <c r="H27" s="15"/>
      <c r="I27" s="15"/>
      <c r="J27" s="13"/>
      <c r="K27" s="13"/>
      <c r="L27" s="26" t="e">
        <f>VLOOKUP(C27,Created!$C$5:$L$43,10,0)</f>
        <v>#N/A</v>
      </c>
      <c r="M27" s="25"/>
    </row>
    <row r="28" spans="2:13" ht="15.95" customHeight="1" x14ac:dyDescent="0.2">
      <c r="B28" s="11"/>
      <c r="C28" s="12"/>
      <c r="D28" s="12"/>
      <c r="E28" s="13"/>
      <c r="F28" s="11"/>
      <c r="G28" s="13"/>
      <c r="H28" s="15"/>
      <c r="I28" s="15"/>
      <c r="J28" s="13"/>
      <c r="K28" s="13"/>
      <c r="L28" s="24" t="e">
        <f>VLOOKUP(C28,Created!$C$5:$L$43,10,0)</f>
        <v>#N/A</v>
      </c>
    </row>
    <row r="29" spans="2:13" ht="15.95" customHeight="1" x14ac:dyDescent="0.2">
      <c r="B29" s="11"/>
      <c r="C29" s="12"/>
      <c r="D29" s="12"/>
      <c r="E29" s="13"/>
      <c r="F29" s="11"/>
      <c r="G29" s="13"/>
      <c r="H29" s="15"/>
      <c r="I29" s="15"/>
      <c r="J29" s="13"/>
      <c r="K29" s="13"/>
      <c r="L29" s="24" t="e">
        <f>VLOOKUP(C29,Created!$C$5:$L$43,10,0)</f>
        <v>#N/A</v>
      </c>
    </row>
    <row r="30" spans="2:13" ht="15.95" customHeight="1" x14ac:dyDescent="0.2">
      <c r="B30" s="11"/>
      <c r="C30" s="12"/>
      <c r="D30" s="12"/>
      <c r="E30" s="13"/>
      <c r="F30" s="11"/>
      <c r="G30" s="13"/>
      <c r="H30" s="15"/>
      <c r="I30" s="15"/>
      <c r="J30" s="13"/>
      <c r="K30" s="13"/>
      <c r="L30" s="25"/>
      <c r="M30" s="25" t="s">
        <v>31</v>
      </c>
    </row>
    <row r="31" spans="2:13" ht="15.95" customHeight="1" x14ac:dyDescent="0.2">
      <c r="B31" s="11"/>
      <c r="C31" s="12"/>
      <c r="D31" s="12"/>
      <c r="E31" s="13"/>
      <c r="F31" s="11"/>
      <c r="G31" s="13"/>
      <c r="H31" s="15"/>
      <c r="I31" s="15"/>
      <c r="J31" s="13"/>
      <c r="K31" s="13"/>
      <c r="L31" s="25"/>
      <c r="M31" s="25" t="s">
        <v>31</v>
      </c>
    </row>
    <row r="32" spans="2:13" ht="15.95" customHeight="1" x14ac:dyDescent="0.2">
      <c r="B32" s="11"/>
      <c r="C32" s="12"/>
      <c r="D32" s="12"/>
      <c r="E32" s="13"/>
      <c r="F32" s="11"/>
      <c r="G32" s="14"/>
      <c r="H32" s="15"/>
      <c r="I32" s="15"/>
      <c r="J32" s="13"/>
      <c r="K32" s="13"/>
      <c r="L32" s="25"/>
      <c r="M32" s="25" t="s">
        <v>31</v>
      </c>
    </row>
    <row r="33" spans="2:11" ht="15.95" customHeight="1" x14ac:dyDescent="0.2">
      <c r="B33" s="11"/>
      <c r="C33" s="12"/>
      <c r="D33" s="12"/>
      <c r="E33" s="13"/>
      <c r="F33" s="11"/>
      <c r="G33" s="13"/>
      <c r="H33" s="15"/>
      <c r="I33" s="15"/>
      <c r="J33" s="13"/>
      <c r="K33" s="13"/>
    </row>
    <row r="34" spans="2:11" ht="15.95" customHeight="1" x14ac:dyDescent="0.2">
      <c r="B34" s="11"/>
      <c r="C34" s="12"/>
      <c r="D34" s="12"/>
      <c r="E34" s="13"/>
      <c r="F34" s="11"/>
      <c r="G34" s="13"/>
      <c r="H34" s="15"/>
      <c r="I34" s="15"/>
      <c r="J34" s="13"/>
      <c r="K34" s="13"/>
    </row>
    <row r="35" spans="2:11" ht="15.95" customHeight="1" x14ac:dyDescent="0.2">
      <c r="B35" s="11"/>
      <c r="C35" s="12"/>
      <c r="D35" s="12"/>
      <c r="E35" s="13"/>
      <c r="F35" s="11"/>
      <c r="G35" s="13"/>
      <c r="H35" s="15"/>
      <c r="I35" s="15"/>
      <c r="J35" s="13"/>
      <c r="K35" s="13"/>
    </row>
    <row r="36" spans="2:11" ht="15.95" customHeight="1" x14ac:dyDescent="0.2">
      <c r="B36" s="11"/>
      <c r="C36" s="12"/>
      <c r="D36" s="12"/>
      <c r="E36" s="13"/>
      <c r="F36" s="11"/>
      <c r="G36" s="13"/>
      <c r="H36" s="15"/>
      <c r="I36" s="15"/>
      <c r="J36" s="13"/>
      <c r="K36" s="13"/>
    </row>
    <row r="37" spans="2:11" ht="15.95" customHeight="1" x14ac:dyDescent="0.2">
      <c r="B37" s="11"/>
      <c r="C37" s="12"/>
      <c r="D37" s="12"/>
      <c r="E37" s="13"/>
      <c r="F37" s="11"/>
      <c r="G37" s="13"/>
      <c r="H37" s="15"/>
      <c r="I37" s="15"/>
      <c r="J37" s="13"/>
      <c r="K37" s="13"/>
    </row>
    <row r="38" spans="2:11" ht="15.95" customHeight="1" x14ac:dyDescent="0.2">
      <c r="B38" s="11"/>
      <c r="C38" s="12"/>
      <c r="D38" s="12"/>
      <c r="E38" s="13"/>
      <c r="F38" s="11"/>
      <c r="G38" s="13"/>
      <c r="H38" s="15"/>
      <c r="I38" s="15"/>
      <c r="J38" s="13"/>
      <c r="K38" s="13"/>
    </row>
    <row r="39" spans="2:11" ht="15.95" customHeight="1" x14ac:dyDescent="0.2">
      <c r="B39" s="11"/>
      <c r="C39" s="12"/>
      <c r="D39" s="12"/>
      <c r="E39" s="13"/>
      <c r="F39" s="11"/>
      <c r="G39" s="13"/>
      <c r="H39" s="15"/>
      <c r="I39" s="15"/>
      <c r="J39" s="13"/>
      <c r="K39" s="13"/>
    </row>
    <row r="40" spans="2:11" ht="15.95" customHeight="1" x14ac:dyDescent="0.2">
      <c r="B40" s="11"/>
      <c r="C40" s="12"/>
      <c r="D40" s="12"/>
      <c r="E40" s="13"/>
      <c r="F40" s="11"/>
      <c r="G40" s="13"/>
      <c r="H40" s="15"/>
      <c r="I40" s="15"/>
      <c r="J40" s="13"/>
      <c r="K40" s="13"/>
    </row>
    <row r="41" spans="2:11" ht="15.95" customHeight="1" x14ac:dyDescent="0.2">
      <c r="B41" s="11"/>
      <c r="C41" s="12"/>
      <c r="D41" s="12"/>
      <c r="E41" s="13"/>
      <c r="F41" s="11"/>
      <c r="G41" s="13"/>
      <c r="H41" s="15"/>
      <c r="I41" s="15"/>
      <c r="J41" s="13"/>
      <c r="K41" s="13"/>
    </row>
    <row r="42" spans="2:11" ht="15.95" customHeight="1" x14ac:dyDescent="0.2">
      <c r="B42" s="11"/>
      <c r="C42" s="12"/>
      <c r="D42" s="12"/>
      <c r="E42" s="13"/>
      <c r="F42" s="11"/>
      <c r="G42" s="14"/>
      <c r="H42" s="15"/>
      <c r="I42" s="15"/>
      <c r="J42" s="13"/>
      <c r="K42" s="14"/>
    </row>
    <row r="43" spans="2:11" ht="15.95" customHeight="1" x14ac:dyDescent="0.2">
      <c r="B43" s="11"/>
      <c r="C43" s="12"/>
      <c r="D43" s="12"/>
      <c r="E43" s="13"/>
      <c r="F43" s="11"/>
      <c r="G43" s="13"/>
      <c r="H43" s="15"/>
      <c r="I43" s="15"/>
      <c r="J43" s="13"/>
      <c r="K43" s="13"/>
    </row>
    <row r="44" spans="2:11" ht="15.95" customHeight="1" x14ac:dyDescent="0.2">
      <c r="B44" s="11"/>
      <c r="C44" s="12"/>
      <c r="D44" s="12"/>
      <c r="E44" s="13"/>
      <c r="F44" s="11"/>
      <c r="G44" s="13"/>
      <c r="H44" s="15"/>
      <c r="I44" s="15"/>
      <c r="J44" s="13"/>
      <c r="K44" s="13"/>
    </row>
    <row r="45" spans="2:11" ht="15.95" customHeight="1" x14ac:dyDescent="0.2">
      <c r="B45" s="11"/>
      <c r="C45" s="12"/>
      <c r="D45" s="12"/>
      <c r="E45" s="13"/>
      <c r="F45" s="11"/>
      <c r="G45" s="13"/>
      <c r="H45" s="15"/>
      <c r="I45" s="15"/>
      <c r="J45" s="13"/>
      <c r="K45" s="13"/>
    </row>
    <row r="46" spans="2:11" ht="15.95" customHeight="1" x14ac:dyDescent="0.2">
      <c r="B46" s="11"/>
      <c r="C46" s="12"/>
      <c r="D46" s="12"/>
      <c r="E46" s="13"/>
      <c r="F46" s="11"/>
      <c r="G46" s="14"/>
      <c r="H46" s="15"/>
      <c r="I46" s="13"/>
      <c r="J46" s="13"/>
      <c r="K46" s="13"/>
    </row>
    <row r="47" spans="2:11" ht="15.95" customHeight="1" x14ac:dyDescent="0.2">
      <c r="B47" s="11"/>
      <c r="C47" s="12"/>
      <c r="D47" s="12"/>
      <c r="E47" s="13"/>
      <c r="F47" s="11"/>
      <c r="G47" s="13"/>
      <c r="H47" s="15"/>
      <c r="I47" s="15"/>
      <c r="J47" s="13"/>
      <c r="K47" s="13"/>
    </row>
    <row r="48" spans="2:11" ht="15.95" customHeight="1" x14ac:dyDescent="0.2">
      <c r="B48" s="11"/>
      <c r="C48" s="12"/>
      <c r="D48" s="12"/>
      <c r="E48" s="13"/>
      <c r="F48" s="11"/>
      <c r="G48" s="13"/>
      <c r="H48" s="15"/>
      <c r="I48" s="15"/>
      <c r="J48" s="13"/>
      <c r="K48" s="13"/>
    </row>
    <row r="49" spans="2:11" ht="15.95" customHeight="1" x14ac:dyDescent="0.2">
      <c r="B49" s="11"/>
      <c r="C49" s="12"/>
      <c r="D49" s="12"/>
      <c r="E49" s="13"/>
      <c r="F49" s="11"/>
      <c r="G49" s="13"/>
      <c r="H49" s="15"/>
      <c r="I49" s="15"/>
      <c r="J49" s="13"/>
      <c r="K49" s="13"/>
    </row>
    <row r="50" spans="2:11" ht="15.95" customHeight="1" x14ac:dyDescent="0.2">
      <c r="B50" s="11"/>
      <c r="C50" s="12"/>
      <c r="D50" s="12"/>
      <c r="E50" s="13"/>
      <c r="F50" s="11"/>
      <c r="G50" s="13"/>
      <c r="H50" s="15"/>
      <c r="I50" s="15"/>
      <c r="J50" s="13"/>
      <c r="K50" s="13"/>
    </row>
    <row r="51" spans="2:11" ht="15.95" customHeight="1" x14ac:dyDescent="0.2">
      <c r="B51" s="11"/>
      <c r="C51" s="12"/>
      <c r="D51" s="12"/>
      <c r="E51" s="13"/>
      <c r="F51" s="11"/>
      <c r="G51" s="13"/>
      <c r="H51" s="15"/>
      <c r="I51" s="15"/>
      <c r="J51" s="13"/>
      <c r="K51" s="13"/>
    </row>
    <row r="52" spans="2:11" ht="15.95" customHeight="1" x14ac:dyDescent="0.2">
      <c r="B52" s="11"/>
      <c r="C52" s="12"/>
      <c r="D52" s="12"/>
      <c r="E52" s="13"/>
      <c r="F52" s="11"/>
      <c r="G52" s="14"/>
      <c r="H52" s="15"/>
      <c r="I52" s="13"/>
      <c r="J52" s="13"/>
      <c r="K52" s="13"/>
    </row>
    <row r="53" spans="2:11" ht="15.95" customHeight="1" x14ac:dyDescent="0.2">
      <c r="B53" s="11"/>
      <c r="C53" s="12"/>
      <c r="D53" s="12"/>
      <c r="E53" s="13"/>
      <c r="F53" s="11"/>
      <c r="G53" s="13"/>
      <c r="H53" s="15"/>
      <c r="I53" s="15"/>
      <c r="J53" s="13"/>
      <c r="K53" s="13"/>
    </row>
    <row r="54" spans="2:11" ht="15.95" customHeight="1" x14ac:dyDescent="0.2">
      <c r="B54" s="11"/>
      <c r="C54" s="12"/>
      <c r="D54" s="12"/>
      <c r="E54" s="13"/>
      <c r="F54" s="11"/>
      <c r="G54" s="14"/>
      <c r="H54" s="15"/>
      <c r="I54" s="13"/>
      <c r="J54" s="13"/>
      <c r="K54" s="13"/>
    </row>
    <row r="55" spans="2:11" ht="15.95" customHeight="1" x14ac:dyDescent="0.2">
      <c r="B55" s="11"/>
      <c r="C55" s="12"/>
      <c r="D55" s="12"/>
      <c r="E55" s="13"/>
      <c r="F55" s="11"/>
      <c r="G55" s="13"/>
      <c r="H55" s="15"/>
      <c r="I55" s="15"/>
      <c r="J55" s="13"/>
      <c r="K55" s="13"/>
    </row>
    <row r="56" spans="2:11" ht="15.95" customHeight="1" x14ac:dyDescent="0.2">
      <c r="B56" s="11"/>
      <c r="C56" s="12"/>
      <c r="D56" s="12"/>
      <c r="E56" s="13"/>
      <c r="F56" s="11"/>
      <c r="G56" s="13"/>
      <c r="H56" s="15"/>
      <c r="I56" s="15"/>
      <c r="J56" s="13"/>
      <c r="K56" s="13"/>
    </row>
    <row r="57" spans="2:11" ht="15.95" customHeight="1" x14ac:dyDescent="0.2">
      <c r="B57" s="11"/>
      <c r="C57" s="12"/>
      <c r="D57" s="12"/>
      <c r="E57" s="13"/>
      <c r="F57" s="11"/>
      <c r="G57" s="14"/>
      <c r="H57" s="15"/>
      <c r="I57" s="13"/>
      <c r="J57" s="13"/>
      <c r="K57" s="13"/>
    </row>
    <row r="58" spans="2:11" ht="15.95" customHeight="1" x14ac:dyDescent="0.2">
      <c r="B58" s="11"/>
      <c r="C58" s="12"/>
      <c r="D58" s="12"/>
      <c r="E58" s="13"/>
      <c r="F58" s="11"/>
      <c r="G58" s="14"/>
      <c r="H58" s="15"/>
      <c r="I58" s="13"/>
      <c r="J58" s="13"/>
      <c r="K58" s="13"/>
    </row>
    <row r="59" spans="2:11" ht="15.95" customHeight="1" x14ac:dyDescent="0.2">
      <c r="B59" s="11"/>
      <c r="C59" s="12"/>
      <c r="D59" s="12"/>
      <c r="E59" s="13"/>
      <c r="F59" s="11"/>
      <c r="G59" s="13"/>
      <c r="H59" s="15"/>
      <c r="I59" s="15"/>
      <c r="J59" s="13"/>
      <c r="K59" s="13"/>
    </row>
  </sheetData>
  <autoFilter ref="A4:K59" xr:uid="{00000000-0009-0000-0000-000002000000}"/>
  <sortState xmlns:xlrd2="http://schemas.microsoft.com/office/spreadsheetml/2017/richdata2" ref="A5:K31">
    <sortCondition ref="C5:C31"/>
  </sortState>
  <hyperlinks>
    <hyperlink ref="B2" r:id="rId1" display="https://jira-sd.csiro.au/issues/?jql=project+%3D+11200+AND+createdDate+%3E%3D+startOfMonth%28-1%29+AND+createdDate+%3C%3D+endOfMonth%28-1%29+AND+fixVersion+is+EMPTY" xr:uid="{00000000-0004-0000-0200-000000000000}"/>
  </hyperlinks>
  <pageMargins left="0.7" right="0.7" top="0.75" bottom="0.75" header="0.3" footer="0.3"/>
  <pageSetup paperSize="9"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46"/>
  <sheetViews>
    <sheetView workbookViewId="0">
      <selection activeCell="A12" sqref="A1:A12"/>
    </sheetView>
  </sheetViews>
  <sheetFormatPr defaultRowHeight="15" x14ac:dyDescent="0.25"/>
  <cols>
    <col min="1" max="1" width="43.28515625" customWidth="1"/>
  </cols>
  <sheetData>
    <row r="1" spans="1:1" x14ac:dyDescent="0.25">
      <c r="A1" s="16" t="s">
        <v>34</v>
      </c>
    </row>
    <row r="2" spans="1:1" x14ac:dyDescent="0.25">
      <c r="A2" s="16" t="s">
        <v>14</v>
      </c>
    </row>
    <row r="3" spans="1:1" x14ac:dyDescent="0.25">
      <c r="A3" s="23" t="s">
        <v>23</v>
      </c>
    </row>
    <row r="4" spans="1:1" x14ac:dyDescent="0.25">
      <c r="A4" s="16" t="s">
        <v>24</v>
      </c>
    </row>
    <row r="5" spans="1:1" x14ac:dyDescent="0.25">
      <c r="A5" s="16" t="s">
        <v>26</v>
      </c>
    </row>
    <row r="6" spans="1:1" x14ac:dyDescent="0.25">
      <c r="A6" s="16" t="s">
        <v>22</v>
      </c>
    </row>
    <row r="7" spans="1:1" x14ac:dyDescent="0.25">
      <c r="A7" s="16" t="s">
        <v>29</v>
      </c>
    </row>
    <row r="8" spans="1:1" x14ac:dyDescent="0.25">
      <c r="A8" s="16" t="s">
        <v>15</v>
      </c>
    </row>
    <row r="9" spans="1:1" x14ac:dyDescent="0.25">
      <c r="A9" s="16" t="s">
        <v>25</v>
      </c>
    </row>
    <row r="10" spans="1:1" x14ac:dyDescent="0.25">
      <c r="A10" s="16" t="s">
        <v>16</v>
      </c>
    </row>
    <row r="11" spans="1:1" x14ac:dyDescent="0.25">
      <c r="A11" s="16" t="s">
        <v>30</v>
      </c>
    </row>
    <row r="12" spans="1:1" x14ac:dyDescent="0.25">
      <c r="A12" s="16" t="s">
        <v>27</v>
      </c>
    </row>
    <row r="13" spans="1:1" x14ac:dyDescent="0.25">
      <c r="A13" s="22"/>
    </row>
    <row r="14" spans="1:1" x14ac:dyDescent="0.25">
      <c r="A14" s="16"/>
    </row>
    <row r="15" spans="1:1" x14ac:dyDescent="0.25">
      <c r="A15" s="16"/>
    </row>
    <row r="16" spans="1:1" x14ac:dyDescent="0.25">
      <c r="A16" s="16"/>
    </row>
    <row r="17" spans="1:1" x14ac:dyDescent="0.25">
      <c r="A17" s="16"/>
    </row>
    <row r="18" spans="1:1" x14ac:dyDescent="0.25">
      <c r="A18" s="16"/>
    </row>
    <row r="19" spans="1:1" x14ac:dyDescent="0.25">
      <c r="A19" s="16"/>
    </row>
    <row r="20" spans="1:1" x14ac:dyDescent="0.25">
      <c r="A20" s="16"/>
    </row>
    <row r="21" spans="1:1" x14ac:dyDescent="0.25">
      <c r="A21" s="16"/>
    </row>
    <row r="22" spans="1:1" x14ac:dyDescent="0.25">
      <c r="A22" s="16"/>
    </row>
    <row r="23" spans="1:1" x14ac:dyDescent="0.25">
      <c r="A23" s="16"/>
    </row>
    <row r="24" spans="1:1" x14ac:dyDescent="0.25">
      <c r="A24" s="16"/>
    </row>
    <row r="25" spans="1:1" x14ac:dyDescent="0.25">
      <c r="A25" s="16"/>
    </row>
    <row r="26" spans="1:1" x14ac:dyDescent="0.25">
      <c r="A26" s="16"/>
    </row>
    <row r="27" spans="1:1" x14ac:dyDescent="0.25">
      <c r="A27" s="16"/>
    </row>
    <row r="28" spans="1:1" x14ac:dyDescent="0.25">
      <c r="A28" s="16"/>
    </row>
    <row r="29" spans="1:1" x14ac:dyDescent="0.25">
      <c r="A29" s="16"/>
    </row>
    <row r="30" spans="1:1" x14ac:dyDescent="0.25">
      <c r="A30" s="16"/>
    </row>
    <row r="31" spans="1:1" x14ac:dyDescent="0.25">
      <c r="A31" s="16"/>
    </row>
    <row r="32" spans="1:1" x14ac:dyDescent="0.25">
      <c r="A32" s="16"/>
    </row>
    <row r="33" spans="1:1" x14ac:dyDescent="0.25">
      <c r="A33" s="16"/>
    </row>
    <row r="34" spans="1:1" x14ac:dyDescent="0.25">
      <c r="A34" s="16"/>
    </row>
    <row r="35" spans="1:1" x14ac:dyDescent="0.25">
      <c r="A35" s="16"/>
    </row>
    <row r="36" spans="1:1" x14ac:dyDescent="0.25">
      <c r="A36" s="16"/>
    </row>
    <row r="37" spans="1:1" x14ac:dyDescent="0.25">
      <c r="A37" s="16"/>
    </row>
    <row r="38" spans="1:1" x14ac:dyDescent="0.25">
      <c r="A38" s="16"/>
    </row>
    <row r="39" spans="1:1" x14ac:dyDescent="0.25">
      <c r="A39" s="16"/>
    </row>
    <row r="40" spans="1:1" x14ac:dyDescent="0.25">
      <c r="A40" s="16"/>
    </row>
    <row r="41" spans="1:1" x14ac:dyDescent="0.25">
      <c r="A41" s="16"/>
    </row>
    <row r="42" spans="1:1" x14ac:dyDescent="0.25">
      <c r="A42" s="16"/>
    </row>
    <row r="43" spans="1:1" x14ac:dyDescent="0.25">
      <c r="A43" s="16"/>
    </row>
    <row r="44" spans="1:1" x14ac:dyDescent="0.25">
      <c r="A44" s="16"/>
    </row>
    <row r="45" spans="1:1" x14ac:dyDescent="0.25">
      <c r="A45" s="16"/>
    </row>
    <row r="46" spans="1:1" x14ac:dyDescent="0.25">
      <c r="A46" s="16"/>
    </row>
  </sheetData>
  <sortState xmlns:xlrd2="http://schemas.microsoft.com/office/spreadsheetml/2017/richdata2" ref="A1:A17">
    <sortCondition ref="A1"/>
  </sortState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_dlc_DocId xmlns="b581a6ac-6024-4d84-81ed-76206a24564d">FINANCE-177-5248</_dlc_DocId>
    <_dlc_DocIdUrl xmlns="b581a6ac-6024-4d84-81ed-76206a24564d">
      <Url>https://teams.csiro.au/sites/FinancePortal/_layouts/15/DocIdRedir.aspx?ID=FINANCE-177-5248</Url>
      <Description>FINANCE-177-5248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ED0C94860E6C4888AFB4CB2C8B2F25" ma:contentTypeVersion="7" ma:contentTypeDescription="Create a new document." ma:contentTypeScope="" ma:versionID="bcb26e912fff75375b2a4105c4e14151">
  <xsd:schema xmlns:xsd="http://www.w3.org/2001/XMLSchema" xmlns:xs="http://www.w3.org/2001/XMLSchema" xmlns:p="http://schemas.microsoft.com/office/2006/metadata/properties" xmlns:ns2="b581a6ac-6024-4d84-81ed-76206a24564d" xmlns:ns3="http://schemas.microsoft.com/sharepoint/v4" targetNamespace="http://schemas.microsoft.com/office/2006/metadata/properties" ma:root="true" ma:fieldsID="d7cefd878e9c8662dba1c69f1592138d" ns2:_="" ns3:_="">
    <xsd:import namespace="b581a6ac-6024-4d84-81ed-76206a24564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1a6ac-6024-4d84-81ed-76206a24564d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1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63B075C5-1813-4650-B538-E0E66A64B652}">
  <ds:schemaRefs>
    <ds:schemaRef ds:uri="http://www.w3.org/XML/1998/namespace"/>
    <ds:schemaRef ds:uri="b581a6ac-6024-4d84-81ed-76206a24564d"/>
    <ds:schemaRef ds:uri="http://schemas.microsoft.com/office/2006/metadata/properties"/>
    <ds:schemaRef ds:uri="http://schemas.microsoft.com/sharepoint/v4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CB7732C-42E0-4E3A-A6D0-BA665327E6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A886CB-D7D5-4D71-A2E7-A5D8199E12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81a6ac-6024-4d84-81ed-76206a24564d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90CC9CD-89D6-4DE3-9DA8-56ED307EC714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Table Summary</vt:lpstr>
      <vt:lpstr>Created</vt:lpstr>
      <vt:lpstr>Completed</vt:lpstr>
      <vt:lpstr>Request 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JIRA Service Desk</dc:title>
  <dc:creator>Deane, Wayne (Finance, Clayton)</dc:creator>
  <cp:lastModifiedBy>Louth-Robins, Tristan (Finance, Waite Campus)</cp:lastModifiedBy>
  <dcterms:created xsi:type="dcterms:W3CDTF">2017-07-02T23:57:56Z</dcterms:created>
  <dcterms:modified xsi:type="dcterms:W3CDTF">2020-04-23T05:31:56Z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0x010100CFED0C94860E6C4888AFB4CB2C8B2F25</vt:lpwstr>
  </property>
  <property fmtid="{D5CDD505-2E9C-101B-9397-08002B2CF9AE}" pid="3" name="_dlc_DocIdItemGuid">
    <vt:lpwstr>96a2256b-b78f-4d49-a83d-6225edc39014</vt:lpwstr>
  </property>
</Properties>
</file>